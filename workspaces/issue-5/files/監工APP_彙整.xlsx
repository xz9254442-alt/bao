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4880" windowHeight="16060" tabRatio="600" firstSheet="0" activeTab="0" autoFilterDateGrouping="1"/>
  </bookViews>
  <sheets>
    <sheet name="工作表1" sheetId="1" state="visible" r:id="rId1"/>
  </sheets>
  <definedNames>
    <definedName name="_xlnm._FilterDatabase" localSheetId="0" hidden="1">'工作表1'!$A$1:$P$1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2"/>
      <scheme val="minor"/>
    </font>
    <font>
      <name val="PMingLiU"/>
      <charset val="136"/>
      <family val="1"/>
      <color theme="1"/>
      <sz val="12"/>
    </font>
    <font>
      <name val="Calibri"/>
      <charset val="136"/>
      <family val="3"/>
      <sz val="9"/>
      <scheme val="minor"/>
    </font>
    <font>
      <name val="Microsoft JhengHei"/>
      <charset val="136"/>
      <family val="2"/>
      <color theme="1"/>
      <sz val="18"/>
    </font>
    <font>
      <name val="Aptos"/>
      <color theme="1"/>
      <sz val="18"/>
    </font>
  </fonts>
  <fills count="4">
    <fill>
      <patternFill/>
    </fill>
    <fill>
      <patternFill patternType="gray125"/>
    </fill>
    <fill>
      <patternFill patternType="solid">
        <fgColor rgb="FFF37721"/>
        <bgColor rgb="FFF37721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4"/>
  <sheetViews>
    <sheetView tabSelected="1" zoomScale="60" zoomScaleNormal="60" workbookViewId="0">
      <pane ySplit="1" topLeftCell="A2" activePane="bottomLeft" state="frozen"/>
      <selection pane="bottomLeft" activeCell="F15" sqref="F15"/>
    </sheetView>
  </sheetViews>
  <sheetFormatPr baseColWidth="10" defaultColWidth="10.1640625" defaultRowHeight="16"/>
  <cols>
    <col width="16.1640625" bestFit="1" customWidth="1" style="6" min="1" max="1"/>
    <col width="13" bestFit="1" customWidth="1" style="6" min="2" max="2"/>
    <col width="16.33203125" bestFit="1" customWidth="1" style="5" min="3" max="3"/>
    <col width="13.5" bestFit="1" customWidth="1" style="6" min="4" max="4"/>
    <col width="20" bestFit="1" customWidth="1" style="6" min="5" max="5"/>
    <col width="17.83203125" bestFit="1" customWidth="1" style="6" min="6" max="6"/>
    <col width="13.1640625" bestFit="1" customWidth="1" style="6" min="7" max="8"/>
    <col width="16.1640625" bestFit="1" customWidth="1" style="6" min="9" max="9"/>
    <col width="41.6640625" customWidth="1" style="6" min="10" max="10"/>
    <col width="12.6640625" bestFit="1" customWidth="1" style="6" min="11" max="15"/>
    <col width="23.1640625" bestFit="1" customWidth="1" style="6" min="16" max="16"/>
  </cols>
  <sheetData>
    <row r="1" ht="26" customHeight="1" s="6">
      <c r="A1" s="2" t="inlineStr">
        <is>
          <t>開幕月</t>
        </is>
      </c>
      <c r="B1" s="2" t="inlineStr">
        <is>
          <t>區域</t>
        </is>
      </c>
      <c r="C1" s="3" t="inlineStr">
        <is>
          <t>門市</t>
        </is>
      </c>
      <c r="D1" s="2" t="inlineStr">
        <is>
          <t>店號</t>
        </is>
      </c>
      <c r="E1" s="2" t="inlineStr">
        <is>
          <t>開幕日</t>
        </is>
      </c>
      <c r="F1" s="2" t="inlineStr">
        <is>
          <t>監工</t>
        </is>
      </c>
      <c r="G1" s="2" t="inlineStr">
        <is>
          <t>實際</t>
        </is>
      </c>
      <c r="H1" s="2" t="inlineStr">
        <is>
          <t>目標</t>
        </is>
      </c>
      <c r="I1" s="2" t="inlineStr">
        <is>
          <t>完成率</t>
        </is>
      </c>
      <c r="J1" s="2" t="inlineStr">
        <is>
          <t>缺失說明</t>
        </is>
      </c>
      <c r="K1" s="2" t="n">
        <v>1</v>
      </c>
      <c r="L1" s="2" t="n">
        <v>2</v>
      </c>
      <c r="M1" s="2" t="n">
        <v>3</v>
      </c>
      <c r="N1" s="2" t="n">
        <v>4</v>
      </c>
      <c r="O1" s="2" t="n">
        <v>5</v>
      </c>
      <c r="P1" s="2" t="inlineStr">
        <is>
          <t>缺失總數</t>
        </is>
      </c>
    </row>
    <row r="2">
      <c r="A2" t="inlineStr">
        <is>
          <t>北三</t>
        </is>
      </c>
      <c r="B2" t="inlineStr">
        <is>
          <t>德鴻</t>
        </is>
      </c>
      <c r="C2" s="0" t="n">
        <v>268486</v>
      </c>
      <c r="D2" t="inlineStr">
        <is>
          <t>2025/11/30</t>
        </is>
      </c>
      <c r="E2" s="7">
        <f> "0917570200"</f>
        <v/>
      </c>
      <c r="F2" t="n">
        <v>5</v>
      </c>
      <c r="G2" t="n">
        <v>5</v>
      </c>
      <c r="H2" t="inlineStr">
        <is>
          <t>100%</t>
        </is>
      </c>
      <c r="I2" t="n">
        <v/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/>
      </c>
    </row>
    <row r="3">
      <c r="A3" t="inlineStr">
        <is>
          <t>中一</t>
        </is>
      </c>
      <c r="B3" t="inlineStr">
        <is>
          <t>正德</t>
        </is>
      </c>
      <c r="C3" s="0" t="n">
        <v>256346</v>
      </c>
      <c r="D3" t="inlineStr">
        <is>
          <t>2025/11/12</t>
        </is>
      </c>
      <c r="E3" s="7">
        <f> "0917320688"</f>
        <v/>
      </c>
      <c r="F3" t="n">
        <v>4</v>
      </c>
      <c r="G3" t="n">
        <v>4</v>
      </c>
      <c r="H3" t="inlineStr">
        <is>
          <t>100%</t>
        </is>
      </c>
      <c r="I3" t="n">
        <v/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/>
      </c>
    </row>
    <row r="4">
      <c r="A4" t="inlineStr">
        <is>
          <t>南二</t>
        </is>
      </c>
      <c r="B4" t="inlineStr">
        <is>
          <t>欣保鑫</t>
        </is>
      </c>
      <c r="C4" s="0" t="n">
        <v>256944</v>
      </c>
      <c r="D4" t="inlineStr">
        <is>
          <t>2026/01/19</t>
        </is>
      </c>
      <c r="E4" t="inlineStr">
        <is>
          <t>徐辜O綺</t>
        </is>
      </c>
      <c r="F4" t="n">
        <v>5</v>
      </c>
      <c r="G4" t="n">
        <v>5</v>
      </c>
      <c r="H4" t="inlineStr">
        <is>
          <t>100%</t>
        </is>
      </c>
      <c r="I4" t="n">
        <v/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/>
      </c>
    </row>
    <row r="5">
      <c r="A5" t="inlineStr">
        <is>
          <t>中二</t>
        </is>
      </c>
      <c r="B5" t="inlineStr">
        <is>
          <t>宏裕</t>
        </is>
      </c>
      <c r="C5" s="0" t="n">
        <v>268693</v>
      </c>
      <c r="D5" t="inlineStr">
        <is>
          <t>2025/11/30</t>
        </is>
      </c>
      <c r="E5" t="inlineStr">
        <is>
          <t>葉O昌</t>
        </is>
      </c>
      <c r="F5" t="n">
        <v>5</v>
      </c>
      <c r="G5" t="n">
        <v>5</v>
      </c>
      <c r="H5" t="inlineStr">
        <is>
          <t>100%</t>
        </is>
      </c>
      <c r="I5" t="n">
        <v/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/>
      </c>
    </row>
    <row r="6">
      <c r="A6" t="inlineStr">
        <is>
          <t>南一</t>
        </is>
      </c>
      <c r="B6" t="inlineStr">
        <is>
          <t>澄德</t>
        </is>
      </c>
      <c r="C6" s="0" t="n">
        <v>243616</v>
      </c>
      <c r="D6" t="inlineStr">
        <is>
          <t>2025/11/17</t>
        </is>
      </c>
      <c r="E6" s="7">
        <f> "0965153673"</f>
        <v/>
      </c>
      <c r="F6" t="n">
        <v>5</v>
      </c>
      <c r="G6" t="n">
        <v>5</v>
      </c>
      <c r="H6" t="inlineStr">
        <is>
          <t>100%</t>
        </is>
      </c>
      <c r="I6" t="n">
        <v/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/>
      </c>
    </row>
    <row r="7">
      <c r="A7" t="inlineStr">
        <is>
          <t>南二</t>
        </is>
      </c>
      <c r="B7" t="inlineStr">
        <is>
          <t>風勝</t>
        </is>
      </c>
      <c r="C7" s="0" t="n">
        <v>243731</v>
      </c>
      <c r="D7" t="inlineStr">
        <is>
          <t>2025/11/13</t>
        </is>
      </c>
      <c r="E7" s="7">
        <f> "0933309840"</f>
        <v/>
      </c>
      <c r="F7" t="n">
        <v>5</v>
      </c>
      <c r="G7" t="n">
        <v>5</v>
      </c>
      <c r="H7" t="inlineStr">
        <is>
          <t>100%</t>
        </is>
      </c>
      <c r="I7" t="n">
        <v/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/>
      </c>
    </row>
    <row r="8">
      <c r="A8" t="inlineStr">
        <is>
          <t>南二</t>
        </is>
      </c>
      <c r="B8" t="inlineStr">
        <is>
          <t>祥城</t>
        </is>
      </c>
      <c r="C8" s="0" t="n">
        <v>257235</v>
      </c>
      <c r="D8" t="inlineStr">
        <is>
          <t>2025/11/01</t>
        </is>
      </c>
      <c r="E8" s="7">
        <f> "0909313513"</f>
        <v/>
      </c>
      <c r="F8" t="n">
        <v>5</v>
      </c>
      <c r="G8" t="n">
        <v>5</v>
      </c>
      <c r="H8" t="inlineStr">
        <is>
          <t>100%</t>
        </is>
      </c>
      <c r="I8" t="n">
        <v/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/>
      </c>
    </row>
    <row r="9">
      <c r="A9" t="inlineStr">
        <is>
          <t>南一</t>
        </is>
      </c>
      <c r="B9" t="inlineStr">
        <is>
          <t>高雄大</t>
        </is>
      </c>
      <c r="C9" s="0" t="n">
        <v>242174</v>
      </c>
      <c r="D9" t="inlineStr">
        <is>
          <t>2025/11/08</t>
        </is>
      </c>
      <c r="E9" s="7">
        <f> "0965153673"</f>
        <v/>
      </c>
      <c r="F9" t="n">
        <v>5</v>
      </c>
      <c r="G9" t="n">
        <v>5</v>
      </c>
      <c r="H9" t="inlineStr">
        <is>
          <t>100%</t>
        </is>
      </c>
      <c r="I9" t="n">
        <v/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/>
      </c>
    </row>
    <row r="10">
      <c r="A10" t="inlineStr">
        <is>
          <t>桃竹一</t>
        </is>
      </c>
      <c r="B10" t="inlineStr">
        <is>
          <t>央大智能(X9)</t>
        </is>
      </c>
      <c r="C10" s="0" t="n">
        <v>269054</v>
      </c>
      <c r="D10" t="inlineStr">
        <is>
          <t>2025/11/15</t>
        </is>
      </c>
      <c r="E10" s="7">
        <f> "0987041871"</f>
        <v/>
      </c>
      <c r="F10" t="n">
        <v>5</v>
      </c>
      <c r="G10" t="n">
        <v>5</v>
      </c>
      <c r="H10" t="inlineStr">
        <is>
          <t>100%</t>
        </is>
      </c>
      <c r="I10" t="n">
        <v/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/>
      </c>
    </row>
    <row r="11">
      <c r="A11" t="inlineStr">
        <is>
          <t>桃竹二</t>
        </is>
      </c>
      <c r="B11" t="inlineStr">
        <is>
          <t>富域</t>
        </is>
      </c>
      <c r="C11" s="0" t="n">
        <v>268877</v>
      </c>
      <c r="D11" t="inlineStr">
        <is>
          <t>2025/11/16</t>
        </is>
      </c>
      <c r="E11" s="7">
        <f> "0963437030"</f>
        <v/>
      </c>
      <c r="F11" t="n">
        <v>5</v>
      </c>
      <c r="G11" t="n">
        <v>5</v>
      </c>
      <c r="H11" t="inlineStr">
        <is>
          <t>100%</t>
        </is>
      </c>
      <c r="I11" t="n">
        <v/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/>
      </c>
    </row>
    <row r="12">
      <c r="A12" t="inlineStr">
        <is>
          <t>中二</t>
        </is>
      </c>
      <c r="B12" t="inlineStr">
        <is>
          <t>八大</t>
        </is>
      </c>
      <c r="C12" s="0" t="n">
        <v>131560</v>
      </c>
      <c r="D12" t="inlineStr">
        <is>
          <t>2025/11/11</t>
        </is>
      </c>
      <c r="E12" s="7">
        <f> "0989186693"</f>
        <v/>
      </c>
      <c r="F12" t="n">
        <v>5</v>
      </c>
      <c r="G12" t="n">
        <v>5</v>
      </c>
      <c r="H12" t="inlineStr">
        <is>
          <t>100%</t>
        </is>
      </c>
      <c r="I12" t="n">
        <v/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/>
      </c>
    </row>
    <row r="13">
      <c r="A13" t="inlineStr">
        <is>
          <t>中二</t>
        </is>
      </c>
      <c r="B13" t="inlineStr">
        <is>
          <t>虎興北</t>
        </is>
      </c>
      <c r="C13" s="0" t="n">
        <v>258191</v>
      </c>
      <c r="D13" t="inlineStr">
        <is>
          <t>2025/12/15</t>
        </is>
      </c>
      <c r="E13" s="7">
        <f> "0989186693"</f>
        <v/>
      </c>
      <c r="F13" t="n">
        <v>5</v>
      </c>
      <c r="G13" t="n">
        <v>5</v>
      </c>
      <c r="H13" t="inlineStr">
        <is>
          <t>100%</t>
        </is>
      </c>
      <c r="I13" t="n">
        <v/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/>
      </c>
    </row>
    <row r="14">
      <c r="A14" t="inlineStr">
        <is>
          <t>桃竹一</t>
        </is>
      </c>
      <c r="B14" t="inlineStr">
        <is>
          <t>寶文</t>
        </is>
      </c>
      <c r="C14" s="0" t="n">
        <v>268992</v>
      </c>
      <c r="D14" t="inlineStr">
        <is>
          <t>2025/11/03</t>
        </is>
      </c>
      <c r="E14" s="7">
        <f> "0919409812"</f>
        <v/>
      </c>
      <c r="F14" t="n">
        <v>5</v>
      </c>
      <c r="G14" t="n">
        <v>5</v>
      </c>
      <c r="H14" t="inlineStr">
        <is>
          <t>100%</t>
        </is>
      </c>
      <c r="I14" t="n">
        <v/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/>
      </c>
    </row>
    <row r="15">
      <c r="A15" t="inlineStr">
        <is>
          <t>桃竹一</t>
        </is>
      </c>
      <c r="B15" t="inlineStr">
        <is>
          <t>央大松果</t>
        </is>
      </c>
      <c r="C15" s="0" t="n">
        <v>269179</v>
      </c>
      <c r="D15" t="inlineStr">
        <is>
          <t>2025/11/04</t>
        </is>
      </c>
      <c r="E15" s="7">
        <f> "0987041871"</f>
        <v/>
      </c>
      <c r="F15" t="n">
        <v>5</v>
      </c>
      <c r="G15" t="n">
        <v>5</v>
      </c>
      <c r="H15" t="inlineStr">
        <is>
          <t>100%</t>
        </is>
      </c>
      <c r="I15" t="n">
        <v/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/>
      </c>
    </row>
    <row r="16">
      <c r="A16" t="inlineStr">
        <is>
          <t>北三</t>
        </is>
      </c>
      <c r="B16" t="inlineStr">
        <is>
          <t>勇興</t>
        </is>
      </c>
      <c r="C16" s="0" t="n">
        <v>269157</v>
      </c>
      <c r="D16" t="inlineStr">
        <is>
          <t>2025/11/30</t>
        </is>
      </c>
      <c r="E16" s="7">
        <f> "0973723880"</f>
        <v/>
      </c>
      <c r="F16" t="n">
        <v>5</v>
      </c>
      <c r="G16" t="n">
        <v>5</v>
      </c>
      <c r="H16" t="inlineStr">
        <is>
          <t>100%</t>
        </is>
      </c>
      <c r="I16" t="n">
        <v/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/>
      </c>
    </row>
    <row r="17">
      <c r="A17" t="inlineStr">
        <is>
          <t>桃竹二</t>
        </is>
      </c>
      <c r="B17" t="inlineStr">
        <is>
          <t>安筌</t>
        </is>
      </c>
      <c r="C17" s="0" t="n">
        <v>268855</v>
      </c>
      <c r="D17" t="inlineStr">
        <is>
          <t>2025/11/11</t>
        </is>
      </c>
      <c r="E17" s="7">
        <f> "0913541368"</f>
        <v/>
      </c>
      <c r="F17" t="n">
        <v>5</v>
      </c>
      <c r="G17" t="n">
        <v>5</v>
      </c>
      <c r="H17" t="inlineStr">
        <is>
          <t>100%</t>
        </is>
      </c>
      <c r="I17" t="n">
        <v/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/>
      </c>
    </row>
    <row r="18">
      <c r="A18" t="inlineStr">
        <is>
          <t>北一</t>
        </is>
      </c>
      <c r="B18" t="inlineStr">
        <is>
          <t>臺醫站</t>
        </is>
      </c>
      <c r="C18" s="0" t="n">
        <v>268589</v>
      </c>
      <c r="D18" t="inlineStr">
        <is>
          <t>2025/11/13</t>
        </is>
      </c>
      <c r="E18" s="7">
        <f> "0909153998"</f>
        <v/>
      </c>
      <c r="F18" t="n">
        <v>5</v>
      </c>
      <c r="G18" t="n">
        <v>5</v>
      </c>
      <c r="H18" t="inlineStr">
        <is>
          <t>100%</t>
        </is>
      </c>
      <c r="I18" t="n">
        <v/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/>
      </c>
    </row>
    <row r="19">
      <c r="A19" t="inlineStr">
        <is>
          <t>北二</t>
        </is>
      </c>
      <c r="B19" t="inlineStr">
        <is>
          <t>香陽</t>
        </is>
      </c>
      <c r="C19" s="0" t="n">
        <v>268981</v>
      </c>
      <c r="D19" t="inlineStr">
        <is>
          <t>2025/11/19</t>
        </is>
      </c>
      <c r="E19" s="7">
        <f> "0982886418"</f>
        <v/>
      </c>
      <c r="F19" t="n">
        <v>5</v>
      </c>
      <c r="G19" t="n">
        <v>5</v>
      </c>
      <c r="H19" t="inlineStr">
        <is>
          <t>100%</t>
        </is>
      </c>
      <c r="I19" t="n">
        <v/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/>
      </c>
    </row>
    <row r="20">
      <c r="A20" t="inlineStr">
        <is>
          <t>北二</t>
        </is>
      </c>
      <c r="B20" t="inlineStr">
        <is>
          <t>冒泡</t>
        </is>
      </c>
      <c r="C20" s="0" t="n">
        <v>265801</v>
      </c>
      <c r="D20" t="inlineStr">
        <is>
          <t>2025/11/27</t>
        </is>
      </c>
      <c r="E20" s="7">
        <f> "0919324585"</f>
        <v/>
      </c>
      <c r="F20" t="n">
        <v>5</v>
      </c>
      <c r="G20" t="n">
        <v>5</v>
      </c>
      <c r="H20" t="inlineStr">
        <is>
          <t>100%</t>
        </is>
      </c>
      <c r="I20" t="n">
        <v/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/>
      </c>
    </row>
    <row r="21">
      <c r="A21" t="inlineStr">
        <is>
          <t>北一</t>
        </is>
      </c>
      <c r="B21" t="inlineStr">
        <is>
          <t>西松高</t>
        </is>
      </c>
      <c r="C21" s="0" t="n">
        <v>269065</v>
      </c>
      <c r="D21" t="inlineStr">
        <is>
          <t>2025/11/04</t>
        </is>
      </c>
      <c r="E21" s="7">
        <f> "0900282847"</f>
        <v/>
      </c>
      <c r="F21" t="n">
        <v>5</v>
      </c>
      <c r="G21" t="n">
        <v>5</v>
      </c>
      <c r="H21" t="inlineStr">
        <is>
          <t>100%</t>
        </is>
      </c>
      <c r="I21" t="n">
        <v/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/>
      </c>
    </row>
    <row r="22">
      <c r="A22" t="inlineStr">
        <is>
          <t>北一</t>
        </is>
      </c>
      <c r="B22" t="inlineStr">
        <is>
          <t>樂利</t>
        </is>
      </c>
      <c r="C22" s="0" t="n">
        <v>269249</v>
      </c>
      <c r="D22" t="inlineStr">
        <is>
          <t>2025/11/11</t>
        </is>
      </c>
      <c r="E22" s="7">
        <f> "0909153998"</f>
        <v/>
      </c>
      <c r="F22" t="n">
        <v>5</v>
      </c>
      <c r="G22" t="n">
        <v>5</v>
      </c>
      <c r="H22" t="inlineStr">
        <is>
          <t>100%</t>
        </is>
      </c>
      <c r="I22" t="n">
        <v/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/>
      </c>
    </row>
    <row r="23">
      <c r="A23" t="inlineStr">
        <is>
          <t>北一</t>
        </is>
      </c>
      <c r="B23" t="inlineStr">
        <is>
          <t>新雲</t>
        </is>
      </c>
      <c r="C23" s="0" t="n">
        <v>256704</v>
      </c>
      <c r="D23" t="inlineStr">
        <is>
          <t>2025/11/17</t>
        </is>
      </c>
      <c r="E23" s="7">
        <f> "0909153998"</f>
        <v/>
      </c>
      <c r="F23" t="n">
        <v>5</v>
      </c>
      <c r="G23" t="n">
        <v>5</v>
      </c>
      <c r="H23" t="inlineStr">
        <is>
          <t>100%</t>
        </is>
      </c>
      <c r="I23" t="n">
        <v/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/>
      </c>
    </row>
    <row r="24">
      <c r="A24" t="inlineStr">
        <is>
          <t>桃竹一</t>
        </is>
      </c>
      <c r="B24" t="inlineStr">
        <is>
          <t>環悅</t>
        </is>
      </c>
      <c r="C24" s="0" t="n">
        <v>269087</v>
      </c>
      <c r="D24" t="inlineStr">
        <is>
          <t>2025/11/23</t>
        </is>
      </c>
      <c r="E24" s="7">
        <f> "0987041871"</f>
        <v/>
      </c>
      <c r="F24" t="n">
        <v>5</v>
      </c>
      <c r="G24" t="n">
        <v>5</v>
      </c>
      <c r="H24" t="inlineStr">
        <is>
          <t>100%</t>
        </is>
      </c>
      <c r="I24" t="n">
        <v/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/>
      </c>
    </row>
    <row r="25">
      <c r="A25" t="inlineStr">
        <is>
          <t>中一</t>
        </is>
      </c>
      <c r="B25" t="inlineStr">
        <is>
          <t>三塊厝</t>
        </is>
      </c>
      <c r="C25" s="0" t="n">
        <v>269032</v>
      </c>
      <c r="D25" t="inlineStr">
        <is>
          <t>2025/11/08</t>
        </is>
      </c>
      <c r="E25" s="7">
        <f> "0930811020"</f>
        <v/>
      </c>
      <c r="F25" t="n">
        <v>5</v>
      </c>
      <c r="G25" t="n">
        <v>5</v>
      </c>
      <c r="H25" t="inlineStr">
        <is>
          <t>100%</t>
        </is>
      </c>
      <c r="I25" t="n">
        <v/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/>
      </c>
    </row>
    <row r="26">
      <c r="A26" t="inlineStr">
        <is>
          <t>南二</t>
        </is>
      </c>
      <c r="B26" t="inlineStr">
        <is>
          <t>元泰</t>
        </is>
      </c>
      <c r="C26" s="0" t="n">
        <v>266789</v>
      </c>
      <c r="D26" t="inlineStr">
        <is>
          <t>2025/11/11</t>
        </is>
      </c>
      <c r="E26" s="7">
        <f> "0933309840"</f>
        <v/>
      </c>
      <c r="F26" t="n">
        <v>5</v>
      </c>
      <c r="G26" t="n">
        <v>5</v>
      </c>
      <c r="H26" t="inlineStr">
        <is>
          <t>100%</t>
        </is>
      </c>
      <c r="I26" t="n">
        <v/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/>
      </c>
    </row>
    <row r="27">
      <c r="A27" t="inlineStr">
        <is>
          <t>南二</t>
        </is>
      </c>
      <c r="B27" t="inlineStr">
        <is>
          <t>必勝</t>
        </is>
      </c>
      <c r="C27" s="0" t="n">
        <v>260242</v>
      </c>
      <c r="D27" t="inlineStr">
        <is>
          <t>2025/11/21</t>
        </is>
      </c>
      <c r="E27" s="7">
        <f> "0933309840"</f>
        <v/>
      </c>
      <c r="F27" t="n">
        <v>5</v>
      </c>
      <c r="G27" t="n">
        <v>5</v>
      </c>
      <c r="H27" t="inlineStr">
        <is>
          <t>100%</t>
        </is>
      </c>
      <c r="I27" t="n">
        <v/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/>
      </c>
    </row>
    <row r="28">
      <c r="A28" t="inlineStr">
        <is>
          <t>北二</t>
        </is>
      </c>
      <c r="B28" t="inlineStr">
        <is>
          <t>佰三</t>
        </is>
      </c>
      <c r="C28" s="0" t="n">
        <v>269205</v>
      </c>
      <c r="D28" t="inlineStr">
        <is>
          <t>2025/11/12</t>
        </is>
      </c>
      <c r="E28" s="7">
        <f> "0931699341"</f>
        <v/>
      </c>
      <c r="F28" t="n">
        <v>5</v>
      </c>
      <c r="G28" t="n">
        <v>5</v>
      </c>
      <c r="H28" t="inlineStr">
        <is>
          <t>100%</t>
        </is>
      </c>
      <c r="I28" t="n">
        <v/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/>
      </c>
    </row>
    <row r="29">
      <c r="A29" t="inlineStr">
        <is>
          <t>桃竹二</t>
        </is>
      </c>
      <c r="B29" t="inlineStr">
        <is>
          <t>阿麗拉</t>
        </is>
      </c>
      <c r="C29" s="0" t="n">
        <v>269146</v>
      </c>
      <c r="D29" t="inlineStr">
        <is>
          <t>2025/11/10</t>
        </is>
      </c>
      <c r="E29" s="7">
        <f> "0907084801"</f>
        <v/>
      </c>
      <c r="F29" t="n">
        <v>5</v>
      </c>
      <c r="G29" t="n">
        <v>5</v>
      </c>
      <c r="H29" t="inlineStr">
        <is>
          <t>100%</t>
        </is>
      </c>
      <c r="I29" t="n">
        <v/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/>
      </c>
    </row>
    <row r="30">
      <c r="A30" t="inlineStr">
        <is>
          <t>北一</t>
        </is>
      </c>
      <c r="B30" t="inlineStr">
        <is>
          <t>麗湖</t>
        </is>
      </c>
      <c r="C30" s="0" t="n">
        <v>269076</v>
      </c>
      <c r="D30" t="inlineStr">
        <is>
          <t>2025/11/19</t>
        </is>
      </c>
      <c r="E30" s="7">
        <f> "0912034677"</f>
        <v/>
      </c>
      <c r="F30" t="n">
        <v>5</v>
      </c>
      <c r="G30" t="n">
        <v>5</v>
      </c>
      <c r="H30" t="inlineStr">
        <is>
          <t>100%</t>
        </is>
      </c>
      <c r="I30" t="n">
        <v/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/>
      </c>
    </row>
    <row r="31">
      <c r="A31" t="inlineStr">
        <is>
          <t>中二</t>
        </is>
      </c>
      <c r="B31" t="inlineStr">
        <is>
          <t>7A</t>
        </is>
      </c>
      <c r="C31" s="0" t="n">
        <v>268925</v>
      </c>
      <c r="D31" t="inlineStr">
        <is>
          <t>2025/11/04</t>
        </is>
      </c>
      <c r="E31" s="7">
        <f> "0988148809"</f>
        <v/>
      </c>
      <c r="F31" t="n">
        <v>2</v>
      </c>
      <c r="G31" t="n">
        <v>2</v>
      </c>
      <c r="H31" t="inlineStr">
        <is>
          <t>100%</t>
        </is>
      </c>
      <c r="I31" t="n">
        <v/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/>
      </c>
    </row>
    <row r="32">
      <c r="A32" t="inlineStr">
        <is>
          <t>中一</t>
        </is>
      </c>
      <c r="B32" t="inlineStr">
        <is>
          <t>水湳</t>
        </is>
      </c>
      <c r="C32" s="0" t="n">
        <v>269168</v>
      </c>
      <c r="D32" t="inlineStr">
        <is>
          <t>2025/11/17</t>
        </is>
      </c>
      <c r="E32" s="7">
        <f> "0936278951"</f>
        <v/>
      </c>
      <c r="F32" t="n">
        <v>5</v>
      </c>
      <c r="G32" t="n">
        <v>5</v>
      </c>
      <c r="H32" t="inlineStr">
        <is>
          <t>100%</t>
        </is>
      </c>
      <c r="I32" t="n">
        <v/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/>
      </c>
    </row>
    <row r="33">
      <c r="A33" t="inlineStr">
        <is>
          <t>桃竹一</t>
        </is>
      </c>
      <c r="B33" t="inlineStr">
        <is>
          <t>永佶</t>
        </is>
      </c>
      <c r="C33" s="0" t="n">
        <v>268349</v>
      </c>
      <c r="D33" t="inlineStr">
        <is>
          <t>2025/11/30</t>
        </is>
      </c>
      <c r="E33" s="7">
        <f> "0987041871"</f>
        <v/>
      </c>
      <c r="F33" t="n">
        <v>5</v>
      </c>
      <c r="G33" t="n">
        <v>5</v>
      </c>
      <c r="H33" t="inlineStr">
        <is>
          <t>100%</t>
        </is>
      </c>
      <c r="I33" t="n">
        <v/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/>
      </c>
    </row>
    <row r="34">
      <c r="A34" t="inlineStr">
        <is>
          <t>北一</t>
        </is>
      </c>
      <c r="B34" t="inlineStr">
        <is>
          <t>富景</t>
        </is>
      </c>
      <c r="C34" s="0" t="n">
        <v>269319</v>
      </c>
      <c r="D34" t="inlineStr">
        <is>
          <t>2025/11/18</t>
        </is>
      </c>
      <c r="E34" s="7">
        <f> "0900282847"</f>
        <v/>
      </c>
      <c r="F34" t="n">
        <v>5</v>
      </c>
      <c r="G34" t="n">
        <v>5</v>
      </c>
      <c r="H34" t="inlineStr">
        <is>
          <t>100%</t>
        </is>
      </c>
      <c r="I34" t="n">
        <v/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/>
      </c>
    </row>
    <row r="35">
      <c r="A35" t="inlineStr">
        <is>
          <t>北三</t>
        </is>
      </c>
      <c r="B35" t="inlineStr">
        <is>
          <t>雲鼎</t>
        </is>
      </c>
      <c r="C35" s="0" t="n">
        <v>269386</v>
      </c>
      <c r="D35" t="inlineStr">
        <is>
          <t>2025/11/15</t>
        </is>
      </c>
      <c r="E35" s="7">
        <f> "0931699341"</f>
        <v/>
      </c>
      <c r="F35" t="n">
        <v>5</v>
      </c>
      <c r="G35" t="n">
        <v>5</v>
      </c>
      <c r="H35" t="inlineStr">
        <is>
          <t>100%</t>
        </is>
      </c>
      <c r="I35" t="n">
        <v/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/>
      </c>
    </row>
    <row r="36">
      <c r="A36" t="inlineStr">
        <is>
          <t>北一</t>
        </is>
      </c>
      <c r="B36" t="inlineStr">
        <is>
          <t>和福</t>
        </is>
      </c>
      <c r="C36" s="0" t="n">
        <v>269342</v>
      </c>
      <c r="D36" t="inlineStr">
        <is>
          <t>2025/11/17</t>
        </is>
      </c>
      <c r="E36" s="7">
        <f> "0909153998"</f>
        <v/>
      </c>
      <c r="F36" t="n">
        <v>5</v>
      </c>
      <c r="G36" t="n">
        <v>5</v>
      </c>
      <c r="H36" t="inlineStr">
        <is>
          <t>100%</t>
        </is>
      </c>
      <c r="I36" t="n">
        <v/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/>
      </c>
    </row>
    <row r="37">
      <c r="A37" t="inlineStr">
        <is>
          <t>北二</t>
        </is>
      </c>
      <c r="B37" t="inlineStr">
        <is>
          <t>樟濃</t>
        </is>
      </c>
      <c r="C37" s="0" t="n">
        <v>269630</v>
      </c>
      <c r="D37" t="inlineStr">
        <is>
          <t>2025/12/16</t>
        </is>
      </c>
      <c r="E37" s="7">
        <f> "0931699341"</f>
        <v/>
      </c>
      <c r="F37" t="n">
        <v>5</v>
      </c>
      <c r="G37" t="n">
        <v>5</v>
      </c>
      <c r="H37" t="inlineStr">
        <is>
          <t>100%</t>
        </is>
      </c>
      <c r="I37" t="n">
        <v/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/>
      </c>
    </row>
    <row r="38">
      <c r="A38" t="inlineStr">
        <is>
          <t>南一</t>
        </is>
      </c>
      <c r="B38" t="inlineStr">
        <is>
          <t>長秝</t>
        </is>
      </c>
      <c r="C38" s="0" t="n">
        <v>268039</v>
      </c>
      <c r="D38" t="inlineStr">
        <is>
          <t>2025/11/24</t>
        </is>
      </c>
      <c r="E38" s="7">
        <f> "0988148809"</f>
        <v/>
      </c>
      <c r="F38" t="n">
        <v>5</v>
      </c>
      <c r="G38" t="n">
        <v>5</v>
      </c>
      <c r="H38" t="inlineStr">
        <is>
          <t>100%</t>
        </is>
      </c>
      <c r="I38" t="n">
        <v/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/>
      </c>
    </row>
    <row r="39">
      <c r="A39" t="inlineStr">
        <is>
          <t>南一</t>
        </is>
      </c>
      <c r="B39" t="inlineStr">
        <is>
          <t>淵安</t>
        </is>
      </c>
      <c r="C39" s="0" t="n">
        <v>965105</v>
      </c>
      <c r="D39" t="inlineStr">
        <is>
          <t>2025/12/05</t>
        </is>
      </c>
      <c r="E39" s="7">
        <f> "0988148809"</f>
        <v/>
      </c>
      <c r="F39" t="n">
        <v>5</v>
      </c>
      <c r="G39" t="n">
        <v>5</v>
      </c>
      <c r="H39" t="inlineStr">
        <is>
          <t>100%</t>
        </is>
      </c>
      <c r="I39" t="n">
        <v/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/>
      </c>
    </row>
    <row r="40">
      <c r="A40" t="inlineStr">
        <is>
          <t>北三</t>
        </is>
      </c>
      <c r="B40" t="inlineStr">
        <is>
          <t>泰肱</t>
        </is>
      </c>
      <c r="C40" s="0" t="n">
        <v>267128</v>
      </c>
      <c r="D40" t="inlineStr">
        <is>
          <t>2025/11/30</t>
        </is>
      </c>
      <c r="E40" s="7">
        <f> "0920338377"</f>
        <v/>
      </c>
      <c r="F40" t="n">
        <v>5</v>
      </c>
      <c r="G40" t="n">
        <v>5</v>
      </c>
      <c r="H40" t="inlineStr">
        <is>
          <t>100%</t>
        </is>
      </c>
      <c r="I40" t="n">
        <v/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/>
      </c>
    </row>
    <row r="41">
      <c r="A41" t="inlineStr">
        <is>
          <t>桃竹二</t>
        </is>
      </c>
      <c r="B41" t="inlineStr">
        <is>
          <t>湖口德享</t>
        </is>
      </c>
      <c r="C41" s="0" t="n">
        <v>257648</v>
      </c>
      <c r="D41" t="inlineStr">
        <is>
          <t>2025/12/15</t>
        </is>
      </c>
      <c r="E41" s="7">
        <f> "0913541368"</f>
        <v/>
      </c>
      <c r="F41" t="n">
        <v>5</v>
      </c>
      <c r="G41" t="n">
        <v>5</v>
      </c>
      <c r="H41" t="inlineStr">
        <is>
          <t>100%</t>
        </is>
      </c>
      <c r="I41" t="n">
        <v/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/>
      </c>
    </row>
    <row r="42">
      <c r="A42" t="inlineStr">
        <is>
          <t>中二</t>
        </is>
      </c>
      <c r="B42" t="inlineStr">
        <is>
          <t>雅玥</t>
        </is>
      </c>
      <c r="C42" s="0" t="n">
        <v>268132</v>
      </c>
      <c r="D42" t="inlineStr">
        <is>
          <t>2025/11/17</t>
        </is>
      </c>
      <c r="E42" s="7">
        <f> "0989186693"</f>
        <v/>
      </c>
      <c r="F42" t="n">
        <v>5</v>
      </c>
      <c r="G42" t="n">
        <v>5</v>
      </c>
      <c r="H42" t="inlineStr">
        <is>
          <t>100%</t>
        </is>
      </c>
      <c r="I42" t="n">
        <v/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/>
      </c>
    </row>
    <row r="43">
      <c r="A43" t="inlineStr">
        <is>
          <t>南二</t>
        </is>
      </c>
      <c r="B43" t="inlineStr">
        <is>
          <t>飛航</t>
        </is>
      </c>
      <c r="C43" s="0" t="n">
        <v>269652</v>
      </c>
      <c r="D43" t="inlineStr">
        <is>
          <t>2025/11/20</t>
        </is>
      </c>
      <c r="E43" s="7">
        <f> "0933016940"</f>
        <v/>
      </c>
      <c r="F43" t="n">
        <v>5</v>
      </c>
      <c r="G43" t="n">
        <v>5</v>
      </c>
      <c r="H43" t="inlineStr">
        <is>
          <t>100%</t>
        </is>
      </c>
      <c r="I43" t="n">
        <v/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/>
      </c>
    </row>
    <row r="44">
      <c r="A44" t="inlineStr">
        <is>
          <t>中一</t>
        </is>
      </c>
      <c r="B44" t="inlineStr">
        <is>
          <t>大平</t>
        </is>
      </c>
      <c r="C44" s="0" t="n">
        <v>269582</v>
      </c>
      <c r="D44" t="inlineStr">
        <is>
          <t>2025/11/29</t>
        </is>
      </c>
      <c r="E44" s="7">
        <f> "0963437030"</f>
        <v/>
      </c>
      <c r="F44" t="n">
        <v>5</v>
      </c>
      <c r="G44" t="n">
        <v>5</v>
      </c>
      <c r="H44" t="inlineStr">
        <is>
          <t>100%</t>
        </is>
      </c>
      <c r="I44" t="n">
        <v/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/>
      </c>
    </row>
    <row r="45">
      <c r="A45" t="inlineStr">
        <is>
          <t>北三</t>
        </is>
      </c>
      <c r="B45" t="inlineStr">
        <is>
          <t>鶯峽</t>
        </is>
      </c>
      <c r="C45" s="0" t="n">
        <v>269272</v>
      </c>
      <c r="D45" t="inlineStr">
        <is>
          <t>2025/11/29</t>
        </is>
      </c>
      <c r="E45" s="7">
        <f> "0973723880"</f>
        <v/>
      </c>
      <c r="F45" t="n">
        <v>5</v>
      </c>
      <c r="G45" t="n">
        <v>5</v>
      </c>
      <c r="H45" t="inlineStr">
        <is>
          <t>100%</t>
        </is>
      </c>
      <c r="I45" t="n">
        <v/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/>
      </c>
    </row>
    <row r="46">
      <c r="A46" t="inlineStr">
        <is>
          <t>中一</t>
        </is>
      </c>
      <c r="B46" t="inlineStr">
        <is>
          <t>六寶</t>
        </is>
      </c>
      <c r="C46" s="0" t="n">
        <v>268730</v>
      </c>
      <c r="D46" t="inlineStr">
        <is>
          <t>2025/11/30</t>
        </is>
      </c>
      <c r="E46" s="7">
        <f> "0936278951"</f>
        <v/>
      </c>
      <c r="F46" t="n">
        <v>5</v>
      </c>
      <c r="G46" t="n">
        <v>5</v>
      </c>
      <c r="H46" t="inlineStr">
        <is>
          <t>100%</t>
        </is>
      </c>
      <c r="I46" t="n">
        <v/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/>
      </c>
    </row>
    <row r="47">
      <c r="A47" t="inlineStr">
        <is>
          <t>桃竹二</t>
        </is>
      </c>
      <c r="B47" t="inlineStr">
        <is>
          <t>鑫庄</t>
        </is>
      </c>
      <c r="C47" s="0" t="n">
        <v>269663</v>
      </c>
      <c r="D47" t="inlineStr">
        <is>
          <t>2025/11/29</t>
        </is>
      </c>
      <c r="E47" s="7">
        <f> "0939606797"</f>
        <v/>
      </c>
      <c r="F47" t="n">
        <v>5</v>
      </c>
      <c r="G47" t="n">
        <v>5</v>
      </c>
      <c r="H47" t="inlineStr">
        <is>
          <t>100%</t>
        </is>
      </c>
      <c r="I47" t="n">
        <v/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/>
      </c>
    </row>
    <row r="48">
      <c r="A48" s="1" t="inlineStr">
        <is>
          <t>桃竹一</t>
        </is>
      </c>
      <c r="B48" s="1" t="inlineStr">
        <is>
          <t>藝發</t>
        </is>
      </c>
      <c r="C48" s="4" t="n">
        <v>269489</v>
      </c>
      <c r="D48" s="1" t="inlineStr">
        <is>
          <t>2025/12/06</t>
        </is>
      </c>
      <c r="E48" s="8">
        <f> "0987041871"</f>
        <v/>
      </c>
      <c r="F48" s="1" t="n">
        <v>5</v>
      </c>
      <c r="G48" s="1" t="n">
        <v>5</v>
      </c>
      <c r="H48" s="1" t="inlineStr">
        <is>
          <t>100%</t>
        </is>
      </c>
      <c r="I48" s="1" t="n">
        <v/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/>
      </c>
    </row>
    <row r="49">
      <c r="A49" s="1" t="inlineStr">
        <is>
          <t>北三</t>
        </is>
      </c>
      <c r="B49" s="1" t="inlineStr">
        <is>
          <t>重榮</t>
        </is>
      </c>
      <c r="C49" s="4" t="n">
        <v>260264</v>
      </c>
      <c r="D49" s="1" t="inlineStr">
        <is>
          <t>2025/11/30</t>
        </is>
      </c>
      <c r="E49" s="8">
        <f> "0931699341"</f>
        <v/>
      </c>
      <c r="F49" s="1" t="n">
        <v>5</v>
      </c>
      <c r="G49" s="1" t="n">
        <v>5</v>
      </c>
      <c r="H49" s="1" t="inlineStr">
        <is>
          <t>100%</t>
        </is>
      </c>
      <c r="I49" s="1" t="n">
        <v/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/>
      </c>
    </row>
    <row r="50">
      <c r="A50" s="1" t="inlineStr">
        <is>
          <t>中一</t>
        </is>
      </c>
      <c r="B50" s="1" t="inlineStr">
        <is>
          <t>湖濱城</t>
        </is>
      </c>
      <c r="C50" s="4" t="n">
        <v>269674</v>
      </c>
      <c r="D50" s="1" t="inlineStr">
        <is>
          <t>2025/12/11</t>
        </is>
      </c>
      <c r="E50" s="8">
        <f> "0926139472"</f>
        <v/>
      </c>
      <c r="F50" s="1" t="n">
        <v>5</v>
      </c>
      <c r="G50" s="1" t="n">
        <v>5</v>
      </c>
      <c r="H50" s="1" t="inlineStr">
        <is>
          <t>100%</t>
        </is>
      </c>
      <c r="I50" s="1" t="n">
        <v/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/>
      </c>
    </row>
    <row r="51">
      <c r="A51" s="1" t="inlineStr">
        <is>
          <t>北一</t>
        </is>
      </c>
      <c r="B51" s="1" t="inlineStr">
        <is>
          <t>鑫金港</t>
        </is>
      </c>
      <c r="C51" s="4" t="n">
        <v>269375</v>
      </c>
      <c r="D51" s="1" t="inlineStr">
        <is>
          <t>2025/12/01</t>
        </is>
      </c>
      <c r="E51" s="1" t="inlineStr">
        <is>
          <t>林O盛</t>
        </is>
      </c>
      <c r="F51" s="1" t="n">
        <v>5</v>
      </c>
      <c r="G51" s="1" t="n">
        <v>5</v>
      </c>
      <c r="H51" s="1" t="inlineStr">
        <is>
          <t>100%</t>
        </is>
      </c>
      <c r="I51" s="1" t="n">
        <v/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/>
      </c>
    </row>
    <row r="52">
      <c r="A52" s="1" t="inlineStr">
        <is>
          <t>北一</t>
        </is>
      </c>
      <c r="B52" s="1" t="inlineStr">
        <is>
          <t>水鳥</t>
        </is>
      </c>
      <c r="C52" s="4" t="n">
        <v>269434</v>
      </c>
      <c r="D52" s="1" t="inlineStr">
        <is>
          <t>2025/12/09</t>
        </is>
      </c>
      <c r="E52" s="8">
        <f> "0912034677"</f>
        <v/>
      </c>
      <c r="F52" s="1" t="n">
        <v>5</v>
      </c>
      <c r="G52" s="1" t="n">
        <v>5</v>
      </c>
      <c r="H52" s="1" t="inlineStr">
        <is>
          <t>100%</t>
        </is>
      </c>
      <c r="I52" s="1" t="n">
        <v/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/>
      </c>
    </row>
    <row r="53">
      <c r="A53" s="1" t="inlineStr">
        <is>
          <t>北一</t>
        </is>
      </c>
      <c r="B53" s="1" t="inlineStr">
        <is>
          <t>勤醫</t>
        </is>
      </c>
      <c r="C53" s="4" t="n">
        <v>269593</v>
      </c>
      <c r="D53" s="1" t="inlineStr">
        <is>
          <t>2025/12/06</t>
        </is>
      </c>
      <c r="E53" s="8">
        <f> "0909153998"</f>
        <v/>
      </c>
      <c r="F53" s="1" t="n">
        <v>5</v>
      </c>
      <c r="G53" s="1" t="n">
        <v>5</v>
      </c>
      <c r="H53" s="1" t="inlineStr">
        <is>
          <t>100%</t>
        </is>
      </c>
      <c r="I53" s="1" t="n">
        <v/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/>
      </c>
    </row>
    <row r="54">
      <c r="A54" s="1" t="inlineStr">
        <is>
          <t>北二</t>
        </is>
      </c>
      <c r="B54" s="1" t="inlineStr">
        <is>
          <t>舊莊</t>
        </is>
      </c>
      <c r="C54" s="4" t="n">
        <v>269711</v>
      </c>
      <c r="D54" s="1" t="inlineStr">
        <is>
          <t>2025/12/31</t>
        </is>
      </c>
      <c r="E54" s="8">
        <f> "0982886418"</f>
        <v/>
      </c>
      <c r="F54" s="1" t="n">
        <v>5</v>
      </c>
      <c r="G54" s="1" t="n">
        <v>5</v>
      </c>
      <c r="H54" s="1" t="inlineStr">
        <is>
          <t>100%</t>
        </is>
      </c>
      <c r="I54" s="1" t="n">
        <v/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/>
      </c>
    </row>
    <row r="55">
      <c r="A55" s="1" t="inlineStr">
        <is>
          <t>北一</t>
        </is>
      </c>
      <c r="B55" s="1" t="inlineStr">
        <is>
          <t>金田</t>
        </is>
      </c>
      <c r="C55" s="4" t="n">
        <v>269685</v>
      </c>
      <c r="D55" s="1" t="inlineStr">
        <is>
          <t>2025/11/27</t>
        </is>
      </c>
      <c r="E55" s="8">
        <f> "0909153998"</f>
        <v/>
      </c>
      <c r="F55" s="1" t="n">
        <v>5</v>
      </c>
      <c r="G55" s="1" t="n">
        <v>5</v>
      </c>
      <c r="H55" s="1" t="inlineStr">
        <is>
          <t>100%</t>
        </is>
      </c>
      <c r="I55" s="1" t="n">
        <v/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/>
      </c>
    </row>
    <row r="56">
      <c r="A56" s="1" t="inlineStr">
        <is>
          <t>北一</t>
        </is>
      </c>
      <c r="B56" s="1" t="inlineStr">
        <is>
          <t>延新</t>
        </is>
      </c>
      <c r="C56" s="4" t="n">
        <v>269629</v>
      </c>
      <c r="D56" s="1" t="inlineStr">
        <is>
          <t>2025/12/15</t>
        </is>
      </c>
      <c r="E56" s="8">
        <f> "0909153998"</f>
        <v/>
      </c>
      <c r="F56" s="1" t="n">
        <v>5</v>
      </c>
      <c r="G56" s="1" t="n">
        <v>5</v>
      </c>
      <c r="H56" s="1" t="inlineStr">
        <is>
          <t>100%</t>
        </is>
      </c>
      <c r="I56" s="1" t="n">
        <v/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/>
      </c>
    </row>
    <row r="57">
      <c r="A57" s="1" t="inlineStr">
        <is>
          <t>中一</t>
        </is>
      </c>
      <c r="B57" s="1" t="inlineStr">
        <is>
          <t>幸福成</t>
        </is>
      </c>
      <c r="C57" s="4" t="n">
        <v>268464</v>
      </c>
      <c r="D57" s="1" t="inlineStr">
        <is>
          <t>2025/12/29</t>
        </is>
      </c>
      <c r="E57" s="8">
        <f> "0917320688"</f>
        <v/>
      </c>
      <c r="F57" s="1" t="n">
        <v>5</v>
      </c>
      <c r="G57" s="1" t="n">
        <v>5</v>
      </c>
      <c r="H57" s="1" t="inlineStr">
        <is>
          <t>100%</t>
        </is>
      </c>
      <c r="I57" s="1" t="n">
        <v/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/>
      </c>
    </row>
    <row r="58">
      <c r="A58" s="1" t="inlineStr">
        <is>
          <t>桃竹二</t>
        </is>
      </c>
      <c r="B58" s="1" t="inlineStr">
        <is>
          <t>惠陽</t>
        </is>
      </c>
      <c r="C58" s="4" t="n">
        <v>267117</v>
      </c>
      <c r="D58" s="1" t="inlineStr">
        <is>
          <t>2025/12/10</t>
        </is>
      </c>
      <c r="E58" s="8">
        <f> "0963437030"</f>
        <v/>
      </c>
      <c r="F58" s="1" t="n">
        <v>5</v>
      </c>
      <c r="G58" s="1" t="n">
        <v>5</v>
      </c>
      <c r="H58" s="1" t="inlineStr">
        <is>
          <t>100%</t>
        </is>
      </c>
      <c r="I58" s="1" t="n">
        <v/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/>
      </c>
    </row>
    <row r="59">
      <c r="A59" s="1" t="inlineStr">
        <is>
          <t>北三</t>
        </is>
      </c>
      <c r="B59" s="1" t="inlineStr">
        <is>
          <t>昌信</t>
        </is>
      </c>
      <c r="C59" s="4" t="n">
        <v>269814</v>
      </c>
      <c r="D59" s="1" t="inlineStr">
        <is>
          <t>2025/12/15</t>
        </is>
      </c>
      <c r="E59" s="8">
        <f> "0931699341"</f>
        <v/>
      </c>
      <c r="F59" s="1" t="n">
        <v>5</v>
      </c>
      <c r="G59" s="1" t="n">
        <v>5</v>
      </c>
      <c r="H59" s="1" t="inlineStr">
        <is>
          <t>100%</t>
        </is>
      </c>
      <c r="I59" s="1" t="n">
        <v/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/>
      </c>
    </row>
    <row r="60">
      <c r="A60" s="1" t="inlineStr">
        <is>
          <t>桃竹一</t>
        </is>
      </c>
      <c r="B60" s="1" t="inlineStr">
        <is>
          <t>貴仁</t>
        </is>
      </c>
      <c r="C60" s="4" t="n">
        <v>269847</v>
      </c>
      <c r="D60" s="1" t="inlineStr">
        <is>
          <t>2025/12/17</t>
        </is>
      </c>
      <c r="E60" s="1" t="inlineStr">
        <is>
          <t>劉O姗</t>
        </is>
      </c>
      <c r="F60" s="1" t="n">
        <v>5</v>
      </c>
      <c r="G60" s="1" t="n">
        <v>5</v>
      </c>
      <c r="H60" s="1" t="inlineStr">
        <is>
          <t>100%</t>
        </is>
      </c>
      <c r="I60" s="1" t="n">
        <v/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/>
      </c>
    </row>
    <row r="61">
      <c r="A61" s="1" t="inlineStr">
        <is>
          <t>北三</t>
        </is>
      </c>
      <c r="B61" s="1" t="inlineStr">
        <is>
          <t>永順</t>
        </is>
      </c>
      <c r="C61" s="4" t="n">
        <v>269559</v>
      </c>
      <c r="D61" s="1" t="inlineStr">
        <is>
          <t>2025/12/21</t>
        </is>
      </c>
      <c r="E61" s="8">
        <f> "0973723880"</f>
        <v/>
      </c>
      <c r="F61" s="1" t="n">
        <v>5</v>
      </c>
      <c r="G61" s="1" t="n">
        <v>5</v>
      </c>
      <c r="H61" s="1" t="inlineStr">
        <is>
          <t>100%</t>
        </is>
      </c>
      <c r="I61" s="1" t="n">
        <v/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/>
      </c>
    </row>
    <row r="62">
      <c r="A62" s="1" t="inlineStr">
        <is>
          <t>桃竹一</t>
        </is>
      </c>
      <c r="B62" s="1" t="inlineStr">
        <is>
          <t>高舟</t>
        </is>
      </c>
      <c r="C62" s="4" t="n">
        <v>269238</v>
      </c>
      <c r="D62" s="1" t="inlineStr">
        <is>
          <t>2025/12/29</t>
        </is>
      </c>
      <c r="E62" s="8">
        <f> "0987041871"</f>
        <v/>
      </c>
      <c r="F62" s="1" t="n">
        <v>5</v>
      </c>
      <c r="G62" s="1" t="n">
        <v>5</v>
      </c>
      <c r="H62" s="1" t="inlineStr">
        <is>
          <t>100%</t>
        </is>
      </c>
      <c r="I62" s="1" t="n">
        <v/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/>
      </c>
    </row>
    <row r="63">
      <c r="A63" s="1" t="inlineStr">
        <is>
          <t>北一</t>
        </is>
      </c>
      <c r="B63" s="1" t="inlineStr">
        <is>
          <t>德豐</t>
        </is>
      </c>
      <c r="C63" s="4" t="n">
        <v>269331</v>
      </c>
      <c r="D63" s="1" t="inlineStr">
        <is>
          <t>2025/12/15</t>
        </is>
      </c>
      <c r="E63" s="1" t="inlineStr">
        <is>
          <t>林O盛</t>
        </is>
      </c>
      <c r="F63" s="1" t="n">
        <v>5</v>
      </c>
      <c r="G63" s="1" t="n">
        <v>5</v>
      </c>
      <c r="H63" s="1" t="inlineStr">
        <is>
          <t>100%</t>
        </is>
      </c>
      <c r="I63" s="1" t="n">
        <v/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/>
      </c>
    </row>
    <row r="64">
      <c r="A64" s="1" t="inlineStr">
        <is>
          <t>中二</t>
        </is>
      </c>
      <c r="B64" s="1" t="inlineStr">
        <is>
          <t>山好</t>
        </is>
      </c>
      <c r="C64" s="4" t="n">
        <v>920478</v>
      </c>
      <c r="D64" s="1" t="inlineStr">
        <is>
          <t>2025/11/26</t>
        </is>
      </c>
      <c r="E64" s="8">
        <f> "0989186693"</f>
        <v/>
      </c>
      <c r="F64" s="1" t="n">
        <v>5</v>
      </c>
      <c r="G64" s="1" t="n">
        <v>5</v>
      </c>
      <c r="H64" s="1" t="inlineStr">
        <is>
          <t>100%</t>
        </is>
      </c>
      <c r="I64" s="1" t="n">
        <v/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/>
      </c>
    </row>
    <row r="65">
      <c r="A65" s="1" t="inlineStr">
        <is>
          <t>北三</t>
        </is>
      </c>
      <c r="B65" s="1" t="inlineStr">
        <is>
          <t>商橋</t>
        </is>
      </c>
      <c r="C65" s="4" t="n">
        <v>242897</v>
      </c>
      <c r="D65" s="1" t="inlineStr">
        <is>
          <t>2025/12/29</t>
        </is>
      </c>
      <c r="E65" s="8">
        <f> "0912034677"</f>
        <v/>
      </c>
      <c r="F65" s="1" t="n">
        <v>5</v>
      </c>
      <c r="G65" s="1" t="n">
        <v>5</v>
      </c>
      <c r="H65" s="1" t="inlineStr">
        <is>
          <t>100%</t>
        </is>
      </c>
      <c r="I65" s="1" t="n">
        <v/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/>
      </c>
    </row>
    <row r="66">
      <c r="A66" s="1" t="inlineStr">
        <is>
          <t>南二</t>
        </is>
      </c>
      <c r="B66" s="1" t="inlineStr">
        <is>
          <t>豐田村</t>
        </is>
      </c>
      <c r="C66" s="4" t="n">
        <v>269397</v>
      </c>
      <c r="D66" s="1" t="inlineStr">
        <is>
          <t>2026/01/09</t>
        </is>
      </c>
      <c r="E66" s="1" t="inlineStr">
        <is>
          <t>施O樺</t>
        </is>
      </c>
      <c r="F66" s="1" t="n">
        <v>5</v>
      </c>
      <c r="G66" s="1" t="n">
        <v>5</v>
      </c>
      <c r="H66" s="1" t="inlineStr">
        <is>
          <t>100%</t>
        </is>
      </c>
      <c r="I66" s="1" t="n">
        <v/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/>
      </c>
    </row>
    <row r="67">
      <c r="A67" s="1" t="inlineStr">
        <is>
          <t>南二</t>
        </is>
      </c>
      <c r="B67" s="1" t="inlineStr">
        <is>
          <t>鎮北</t>
        </is>
      </c>
      <c r="C67" s="4" t="n">
        <v>259770</v>
      </c>
      <c r="D67" s="1" t="inlineStr">
        <is>
          <t>2026/01/01</t>
        </is>
      </c>
      <c r="E67" s="1" t="inlineStr">
        <is>
          <t>施O樺</t>
        </is>
      </c>
      <c r="F67" s="1" t="n">
        <v>5</v>
      </c>
      <c r="G67" s="1" t="n">
        <v>5</v>
      </c>
      <c r="H67" s="1" t="inlineStr">
        <is>
          <t>100%</t>
        </is>
      </c>
      <c r="I67" s="1" t="n">
        <v/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/>
      </c>
    </row>
    <row r="68">
      <c r="A68" s="1" t="inlineStr">
        <is>
          <t>南一</t>
        </is>
      </c>
      <c r="B68" s="1" t="inlineStr">
        <is>
          <t>成學</t>
        </is>
      </c>
      <c r="C68" s="4" t="n">
        <v>269504</v>
      </c>
      <c r="D68" s="1" t="inlineStr">
        <is>
          <t>2025/12/30</t>
        </is>
      </c>
      <c r="E68" s="8">
        <f> "0965153673"</f>
        <v/>
      </c>
      <c r="F68" s="1" t="n">
        <v>5</v>
      </c>
      <c r="G68" s="1" t="n">
        <v>5</v>
      </c>
      <c r="H68" s="1" t="inlineStr">
        <is>
          <t>100%</t>
        </is>
      </c>
      <c r="I68" s="1" t="n">
        <v/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/>
      </c>
    </row>
    <row r="69">
      <c r="A69" s="1" t="inlineStr">
        <is>
          <t>北二</t>
        </is>
      </c>
      <c r="B69" s="1" t="inlineStr">
        <is>
          <t>龍鑫</t>
        </is>
      </c>
      <c r="C69" s="4" t="n">
        <v>269607</v>
      </c>
      <c r="D69" s="1" t="inlineStr">
        <is>
          <t>2026/01/27</t>
        </is>
      </c>
      <c r="E69" s="8">
        <f> "0919324585"</f>
        <v/>
      </c>
      <c r="F69" s="1" t="n">
        <v>5</v>
      </c>
      <c r="G69" s="1" t="n">
        <v>5</v>
      </c>
      <c r="H69" s="1" t="inlineStr">
        <is>
          <t>100%</t>
        </is>
      </c>
      <c r="I69" s="1" t="n">
        <v/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/>
      </c>
    </row>
    <row r="70">
      <c r="A70" s="1" t="inlineStr">
        <is>
          <t>桃竹一</t>
        </is>
      </c>
      <c r="B70" s="1" t="inlineStr">
        <is>
          <t>德耀</t>
        </is>
      </c>
      <c r="C70" s="4" t="n">
        <v>269700</v>
      </c>
      <c r="D70" s="1" t="inlineStr">
        <is>
          <t>2025/12/29</t>
        </is>
      </c>
      <c r="E70" s="8">
        <f> "0987041871"</f>
        <v/>
      </c>
      <c r="F70" s="1" t="n">
        <v>5</v>
      </c>
      <c r="G70" s="1" t="n">
        <v>5</v>
      </c>
      <c r="H70" s="1" t="inlineStr">
        <is>
          <t>100%</t>
        </is>
      </c>
      <c r="I70" s="1" t="n">
        <v/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/>
      </c>
    </row>
    <row r="71">
      <c r="A71" s="1" t="inlineStr">
        <is>
          <t>中一</t>
        </is>
      </c>
      <c r="B71" s="1" t="inlineStr">
        <is>
          <t>明青</t>
        </is>
      </c>
      <c r="C71" s="4" t="n">
        <v>268176</v>
      </c>
      <c r="D71" s="1" t="inlineStr">
        <is>
          <t>2025/12/17</t>
        </is>
      </c>
      <c r="E71" s="8">
        <f> "0963437030"</f>
        <v/>
      </c>
      <c r="F71" s="1" t="n">
        <v>5</v>
      </c>
      <c r="G71" s="1" t="n">
        <v>5</v>
      </c>
      <c r="H71" s="1" t="inlineStr">
        <is>
          <t>100%</t>
        </is>
      </c>
      <c r="I71" s="1" t="n">
        <v/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/>
      </c>
    </row>
    <row r="72">
      <c r="A72" s="1" t="inlineStr">
        <is>
          <t>中一</t>
        </is>
      </c>
      <c r="B72" s="1" t="inlineStr">
        <is>
          <t>壹順</t>
        </is>
      </c>
      <c r="C72" s="4" t="n">
        <v>267047</v>
      </c>
      <c r="D72" s="1" t="inlineStr">
        <is>
          <t>2025/12/20</t>
        </is>
      </c>
      <c r="E72" s="1" t="inlineStr">
        <is>
          <t>林O芃</t>
        </is>
      </c>
      <c r="F72" s="1" t="n">
        <v>5</v>
      </c>
      <c r="G72" s="1" t="n">
        <v>5</v>
      </c>
      <c r="H72" s="1" t="inlineStr">
        <is>
          <t>100%</t>
        </is>
      </c>
      <c r="I72" s="1" t="n">
        <v/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/>
      </c>
    </row>
    <row r="73">
      <c r="A73" s="1" t="inlineStr">
        <is>
          <t>南一</t>
        </is>
      </c>
      <c r="B73" s="1" t="inlineStr">
        <is>
          <t>新P5</t>
        </is>
      </c>
      <c r="C73" s="4" t="n">
        <v>133016</v>
      </c>
      <c r="D73" s="1" t="inlineStr">
        <is>
          <t>2026/01/30</t>
        </is>
      </c>
      <c r="E73" s="1" t="inlineStr">
        <is>
          <t>黃O昇</t>
        </is>
      </c>
      <c r="F73" s="1" t="n">
        <v>2</v>
      </c>
      <c r="G73" s="1" t="n">
        <v>2</v>
      </c>
      <c r="H73" s="1" t="inlineStr">
        <is>
          <t>100%</t>
        </is>
      </c>
      <c r="I73" s="1" t="n">
        <v/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/>
      </c>
    </row>
    <row r="74">
      <c r="A74" s="1" t="inlineStr">
        <is>
          <t>北三</t>
        </is>
      </c>
      <c r="B74" s="1" t="inlineStr">
        <is>
          <t>亞醫</t>
        </is>
      </c>
      <c r="C74" s="4" t="n">
        <v>269548</v>
      </c>
      <c r="D74" s="1" t="inlineStr">
        <is>
          <t>2026/01/01</t>
        </is>
      </c>
      <c r="E74" s="1" t="inlineStr">
        <is>
          <t>黃O鴻</t>
        </is>
      </c>
      <c r="F74" s="1" t="n">
        <v>5</v>
      </c>
      <c r="G74" s="1" t="n">
        <v>5</v>
      </c>
      <c r="H74" s="1" t="inlineStr">
        <is>
          <t>100%</t>
        </is>
      </c>
      <c r="I74" s="1" t="n">
        <v/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/>
      </c>
    </row>
    <row r="75">
      <c r="A75" s="1" t="inlineStr">
        <is>
          <t>北二</t>
        </is>
      </c>
      <c r="B75" s="1" t="inlineStr">
        <is>
          <t>樟忠</t>
        </is>
      </c>
      <c r="C75" s="4" t="n">
        <v>269571</v>
      </c>
      <c r="D75" s="1" t="inlineStr">
        <is>
          <t>2025/12/24</t>
        </is>
      </c>
      <c r="E75" s="8">
        <f> "0982886418"</f>
        <v/>
      </c>
      <c r="F75" s="1" t="n">
        <v>5</v>
      </c>
      <c r="G75" s="1" t="n">
        <v>5</v>
      </c>
      <c r="H75" s="1" t="inlineStr">
        <is>
          <t>100%</t>
        </is>
      </c>
      <c r="I75" s="1" t="n">
        <v/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/>
      </c>
    </row>
    <row r="76">
      <c r="A76" s="1" t="inlineStr">
        <is>
          <t>南一</t>
        </is>
      </c>
      <c r="B76" s="1" t="inlineStr">
        <is>
          <t>長大</t>
        </is>
      </c>
      <c r="C76" s="4" t="n">
        <v>288295</v>
      </c>
      <c r="D76" s="1" t="inlineStr">
        <is>
          <t>2025/12/12</t>
        </is>
      </c>
      <c r="E76" s="8">
        <f> "0965153673"</f>
        <v/>
      </c>
      <c r="F76" s="1" t="n">
        <v>5</v>
      </c>
      <c r="G76" s="1" t="n">
        <v>5</v>
      </c>
      <c r="H76" s="1" t="inlineStr">
        <is>
          <t>100%</t>
        </is>
      </c>
      <c r="I76" s="1" t="n">
        <v/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/>
      </c>
    </row>
    <row r="77">
      <c r="A77" s="1" t="inlineStr">
        <is>
          <t>中二</t>
        </is>
      </c>
      <c r="B77" s="1" t="inlineStr">
        <is>
          <t>榮家</t>
        </is>
      </c>
      <c r="C77" s="4" t="n">
        <v>259356</v>
      </c>
      <c r="D77" s="1" t="inlineStr">
        <is>
          <t>2026/01/20</t>
        </is>
      </c>
      <c r="E77" s="8">
        <f> "0989186693"</f>
        <v/>
      </c>
      <c r="F77" s="1" t="n">
        <v>5</v>
      </c>
      <c r="G77" s="1" t="n">
        <v>5</v>
      </c>
      <c r="H77" s="1" t="inlineStr">
        <is>
          <t>100%</t>
        </is>
      </c>
      <c r="I77" s="1" t="n">
        <v/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/>
      </c>
    </row>
    <row r="78">
      <c r="A78" s="1" t="inlineStr">
        <is>
          <t>北三</t>
        </is>
      </c>
      <c r="B78" s="1" t="inlineStr">
        <is>
          <t>大樂</t>
        </is>
      </c>
      <c r="C78" s="4" t="n">
        <v>287786</v>
      </c>
      <c r="D78" s="1" t="inlineStr">
        <is>
          <t>2026/01/11</t>
        </is>
      </c>
      <c r="E78" s="1" t="inlineStr">
        <is>
          <t>鄭O中</t>
        </is>
      </c>
      <c r="F78" s="1" t="n">
        <v>5</v>
      </c>
      <c r="G78" s="1" t="n">
        <v>5</v>
      </c>
      <c r="H78" s="1" t="inlineStr">
        <is>
          <t>100%</t>
        </is>
      </c>
      <c r="I78" s="1" t="n">
        <v/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/>
      </c>
    </row>
    <row r="79">
      <c r="A79" s="1" t="inlineStr">
        <is>
          <t>桃竹二</t>
        </is>
      </c>
      <c r="B79" s="1" t="inlineStr">
        <is>
          <t>新館福</t>
        </is>
      </c>
      <c r="C79" s="4" t="n">
        <v>269788</v>
      </c>
      <c r="D79" s="1" t="inlineStr">
        <is>
          <t>2025/12/22</t>
        </is>
      </c>
      <c r="E79" s="8">
        <f> "0963437030"</f>
        <v/>
      </c>
      <c r="F79" s="1" t="n">
        <v>5</v>
      </c>
      <c r="G79" s="1" t="n">
        <v>5</v>
      </c>
      <c r="H79" s="1" t="inlineStr">
        <is>
          <t>100%</t>
        </is>
      </c>
      <c r="I79" s="1" t="n">
        <v/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/>
      </c>
    </row>
    <row r="80">
      <c r="A80" s="1" t="inlineStr">
        <is>
          <t>桃竹二</t>
        </is>
      </c>
      <c r="B80" s="1" t="inlineStr">
        <is>
          <t>新館福</t>
        </is>
      </c>
      <c r="C80" s="4" t="n">
        <v>288114</v>
      </c>
      <c r="D80" s="1" t="inlineStr">
        <is>
          <t>2025/12/28</t>
        </is>
      </c>
      <c r="E80" s="8">
        <f> "0928019072"</f>
        <v/>
      </c>
      <c r="F80" s="1" t="n">
        <v>5</v>
      </c>
      <c r="G80" s="1" t="n">
        <v>5</v>
      </c>
      <c r="H80" s="1" t="inlineStr">
        <is>
          <t>100%</t>
        </is>
      </c>
      <c r="I80" s="1" t="n">
        <v/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/>
      </c>
    </row>
    <row r="81">
      <c r="A81" s="1" t="inlineStr">
        <is>
          <t>北三</t>
        </is>
      </c>
      <c r="B81" s="1" t="inlineStr">
        <is>
          <t>大漢</t>
        </is>
      </c>
      <c r="C81" s="4" t="n">
        <v>287971</v>
      </c>
      <c r="D81" s="1" t="inlineStr">
        <is>
          <t>2025/12/26</t>
        </is>
      </c>
      <c r="E81" s="8">
        <f> "0920338377"</f>
        <v/>
      </c>
      <c r="F81" s="1" t="n">
        <v>5</v>
      </c>
      <c r="G81" s="1" t="n">
        <v>5</v>
      </c>
      <c r="H81" s="1" t="inlineStr">
        <is>
          <t>100%</t>
        </is>
      </c>
      <c r="I81" s="1" t="n">
        <v/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/>
      </c>
    </row>
    <row r="82">
      <c r="A82" s="1" t="inlineStr">
        <is>
          <t>中一</t>
        </is>
      </c>
      <c r="B82" s="1" t="inlineStr">
        <is>
          <t>輝寶</t>
        </is>
      </c>
      <c r="C82" s="4" t="n">
        <v>269869</v>
      </c>
      <c r="D82" s="1" t="inlineStr">
        <is>
          <t>2025/12/30</t>
        </is>
      </c>
      <c r="E82" s="1" t="inlineStr">
        <is>
          <t>施O暉</t>
        </is>
      </c>
      <c r="F82" s="1" t="n">
        <v>5</v>
      </c>
      <c r="G82" s="1" t="n">
        <v>5</v>
      </c>
      <c r="H82" s="1" t="inlineStr">
        <is>
          <t>100%</t>
        </is>
      </c>
      <c r="I82" s="1" t="n">
        <v/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/>
      </c>
    </row>
    <row r="83">
      <c r="A83" s="1" t="inlineStr">
        <is>
          <t>南一</t>
        </is>
      </c>
      <c r="B83" s="1" t="inlineStr">
        <is>
          <t>建楠</t>
        </is>
      </c>
      <c r="C83" s="4" t="n">
        <v>268671</v>
      </c>
      <c r="D83" s="1" t="inlineStr">
        <is>
          <t>2026/01/03</t>
        </is>
      </c>
      <c r="E83" s="1" t="inlineStr">
        <is>
          <t>柯O彤</t>
        </is>
      </c>
      <c r="F83" s="1" t="n">
        <v>5</v>
      </c>
      <c r="G83" s="1" t="n">
        <v>5</v>
      </c>
      <c r="H83" s="1" t="inlineStr">
        <is>
          <t>100%</t>
        </is>
      </c>
      <c r="I83" s="1" t="n">
        <v/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/>
      </c>
    </row>
    <row r="84">
      <c r="A84" s="1" t="inlineStr">
        <is>
          <t>桃竹二</t>
        </is>
      </c>
      <c r="B84" s="1" t="inlineStr">
        <is>
          <t>湖市</t>
        </is>
      </c>
      <c r="C84" s="4" t="n">
        <v>288217</v>
      </c>
      <c r="D84" s="1" t="inlineStr">
        <is>
          <t>2025/12/31</t>
        </is>
      </c>
      <c r="E84" s="8">
        <f> "0913541368"</f>
        <v/>
      </c>
      <c r="F84" s="1" t="n">
        <v>5</v>
      </c>
      <c r="G84" s="1" t="n">
        <v>5</v>
      </c>
      <c r="H84" s="1" t="inlineStr">
        <is>
          <t>100%</t>
        </is>
      </c>
      <c r="I84" s="1" t="n">
        <v/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/>
      </c>
    </row>
    <row r="85">
      <c r="A85" s="1" t="inlineStr">
        <is>
          <t>北一</t>
        </is>
      </c>
      <c r="B85" s="1" t="inlineStr">
        <is>
          <t>犁耘</t>
        </is>
      </c>
      <c r="C85" s="4" t="n">
        <v>287823</v>
      </c>
      <c r="D85" s="1" t="inlineStr">
        <is>
          <t>2026/01/16</t>
        </is>
      </c>
      <c r="E85" s="1" t="inlineStr">
        <is>
          <t>宋O源</t>
        </is>
      </c>
      <c r="F85" s="1" t="n">
        <v>5</v>
      </c>
      <c r="G85" s="1" t="n">
        <v>5</v>
      </c>
      <c r="H85" s="1" t="inlineStr">
        <is>
          <t>100%</t>
        </is>
      </c>
      <c r="I85" s="1" t="n">
        <v/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/>
      </c>
    </row>
    <row r="86">
      <c r="A86" s="1" t="inlineStr">
        <is>
          <t>桃竹二</t>
        </is>
      </c>
      <c r="B86" s="1" t="inlineStr">
        <is>
          <t>白沙屯</t>
        </is>
      </c>
      <c r="C86" s="4" t="n">
        <v>911647</v>
      </c>
      <c r="D86" s="1" t="inlineStr">
        <is>
          <t>2026/01/13</t>
        </is>
      </c>
      <c r="E86" s="1" t="inlineStr">
        <is>
          <t>陳O信</t>
        </is>
      </c>
      <c r="F86" s="1" t="n">
        <v>5</v>
      </c>
      <c r="G86" s="1" t="n">
        <v>5</v>
      </c>
      <c r="H86" s="1" t="inlineStr">
        <is>
          <t>100%</t>
        </is>
      </c>
      <c r="I86" s="1" t="n">
        <v/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/>
      </c>
    </row>
    <row r="87">
      <c r="A87" s="1" t="inlineStr">
        <is>
          <t>北三</t>
        </is>
      </c>
      <c r="B87" s="1" t="inlineStr">
        <is>
          <t>板鐵</t>
        </is>
      </c>
      <c r="C87" s="4" t="n">
        <v>288239</v>
      </c>
      <c r="D87" s="1" t="inlineStr">
        <is>
          <t>2026/01/09</t>
        </is>
      </c>
      <c r="E87" s="1" t="inlineStr">
        <is>
          <t>蔣O源</t>
        </is>
      </c>
      <c r="F87" s="1" t="n">
        <v>5</v>
      </c>
      <c r="G87" s="1" t="n">
        <v>5</v>
      </c>
      <c r="H87" s="1" t="inlineStr">
        <is>
          <t>100%</t>
        </is>
      </c>
      <c r="I87" s="1" t="n">
        <v/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/>
      </c>
    </row>
    <row r="88">
      <c r="A88" s="1" t="inlineStr">
        <is>
          <t>北二</t>
        </is>
      </c>
      <c r="B88" s="1" t="inlineStr">
        <is>
          <t>羅莊</t>
        </is>
      </c>
      <c r="C88" s="4" t="n">
        <v>269744</v>
      </c>
      <c r="D88" s="1" t="inlineStr">
        <is>
          <t>2026/01/23</t>
        </is>
      </c>
      <c r="E88" s="1" t="inlineStr">
        <is>
          <t>朱O平</t>
        </is>
      </c>
      <c r="F88" s="1" t="n">
        <v>5</v>
      </c>
      <c r="G88" s="1" t="n">
        <v>5</v>
      </c>
      <c r="H88" s="1" t="inlineStr">
        <is>
          <t>100%</t>
        </is>
      </c>
      <c r="I88" s="1" t="n">
        <v/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/>
      </c>
    </row>
    <row r="89">
      <c r="A89" s="1" t="inlineStr">
        <is>
          <t>南一</t>
        </is>
      </c>
      <c r="B89" s="1" t="inlineStr">
        <is>
          <t>仁川</t>
        </is>
      </c>
      <c r="C89" s="4" t="n">
        <v>260297</v>
      </c>
      <c r="D89" s="1" t="inlineStr">
        <is>
          <t>2025/12/31</t>
        </is>
      </c>
      <c r="E89" s="8">
        <f> "0965153673"</f>
        <v/>
      </c>
      <c r="F89" s="1" t="n">
        <v>5</v>
      </c>
      <c r="G89" s="1" t="n">
        <v>5</v>
      </c>
      <c r="H89" s="1" t="inlineStr">
        <is>
          <t>100%</t>
        </is>
      </c>
      <c r="I89" s="1" t="n">
        <v/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/>
      </c>
    </row>
    <row r="90">
      <c r="A90" s="1" t="inlineStr">
        <is>
          <t>南一</t>
        </is>
      </c>
      <c r="B90" s="1" t="inlineStr">
        <is>
          <t>許家</t>
        </is>
      </c>
      <c r="C90" s="4" t="n">
        <v>209465</v>
      </c>
      <c r="D90" s="1" t="inlineStr">
        <is>
          <t>2026/01/30</t>
        </is>
      </c>
      <c r="E90" s="1" t="inlineStr">
        <is>
          <t>黃O昇</t>
        </is>
      </c>
      <c r="F90" s="1" t="n">
        <v>1</v>
      </c>
      <c r="G90" s="1" t="n">
        <v>5</v>
      </c>
      <c r="H90" s="1" t="inlineStr">
        <is>
          <t>20%</t>
        </is>
      </c>
      <c r="I90" s="1" t="inlineStr">
        <is>
          <t>*表單上傳-勤前簽到記錄表(完工日表單簽名詳細)、*表單上傳-自動查檢表(完工日)、*表單上傳-工程施工品質查檢單、*表單上傳-勞工安全衛生查核紀錄、*門市施工照片(每日)-施工照片(每日)(2025/12/08)、*門市施工照片(每日)-施工照片(每日)(2025/12/08)、*門市施工照片(每日)-施工照片(每日)(2025/12/09)、*門市施工照片(每日)-施工照片(每日)(2025/12/09)、*門市施工照片(每日)-施工照片(每日)(2025/12/10)、*門市施工照片(每日)-施工照片(每日)(2025/12/10)、*門市施工照片(每日)-施工照片(每日)(2025/12/11)、*門市施工照片(每日)-施工照片(每日)(2025/12/11)、*門市施工照片(每日)-施工照片(每日)(2025/12/12)、*門市施工照片(每日)-施工照片(每日)(2025/12/12)、*門市施工照片(每日)-施工照片(每日)(2025/12/15)、*門市施工照片(每日)-施工照片(每日)(2025/12/15)、*門市施工照片(每日)-施工照片(每日)(2025/12/16)、*門市施工照片(每日)-施工照片(每日)(2025/12/16)、*門市施工照片(每日)-施工照片(每日)(2025/12/17)、*門市施工照片(每日)-施工照片(每日)(2025/12/17)、*門市施工照片(每日)-施工照片(每日)(2026/01/05)、*門市施工照片(每日)-施工照片(每日)(2026/01/06)、*門市施工照片(每日)-施工照片(每日)(2026/01/07)、*門市施工照片(每日)-施工照片(每日)(2026/01/22)、*門市施工照片(每日)-施工照片(每日)(2026/01/23)、*門市施工照片(每日)-施工照片(每日)(2026/01/24)、*門市施工照片(每日)-施工照片(每日)(2026/01/25)、*勞安工程-監視器畫面(查檢日)、初驗單未完成</t>
        </is>
      </c>
      <c r="J90" s="1" t="n">
        <v>1</v>
      </c>
      <c r="K90" s="1" t="n">
        <v>1</v>
      </c>
      <c r="L90" s="1" t="n">
        <v>0</v>
      </c>
      <c r="M90" s="1" t="n">
        <v>1</v>
      </c>
      <c r="N90" s="1" t="n">
        <v>1</v>
      </c>
      <c r="O90" s="1" t="n">
        <v>4</v>
      </c>
      <c r="P90" s="1" t="n">
        <v/>
      </c>
    </row>
    <row r="91">
      <c r="A91" s="1" t="inlineStr">
        <is>
          <t>中二</t>
        </is>
      </c>
      <c r="B91" s="1" t="inlineStr">
        <is>
          <t>橘貝</t>
        </is>
      </c>
      <c r="C91" s="4" t="n">
        <v>260345</v>
      </c>
      <c r="D91" s="1" t="inlineStr">
        <is>
          <t>2025/12/31</t>
        </is>
      </c>
      <c r="E91" s="8">
        <f> "0926139472"</f>
        <v/>
      </c>
      <c r="F91" s="1" t="n">
        <v>5</v>
      </c>
      <c r="G91" s="1" t="n">
        <v>5</v>
      </c>
      <c r="H91" s="1" t="inlineStr">
        <is>
          <t>100%</t>
        </is>
      </c>
      <c r="I91" s="1" t="n">
        <v/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/>
      </c>
    </row>
    <row r="92">
      <c r="A92" s="1" t="inlineStr">
        <is>
          <t>桃竹二</t>
        </is>
      </c>
      <c r="B92" s="1" t="inlineStr">
        <is>
          <t>生醫</t>
        </is>
      </c>
      <c r="C92" s="4" t="n">
        <v>268442</v>
      </c>
      <c r="D92" s="1" t="inlineStr">
        <is>
          <t>2026/01/13</t>
        </is>
      </c>
      <c r="E92" s="1" t="inlineStr">
        <is>
          <t>陳O信</t>
        </is>
      </c>
      <c r="F92" s="1" t="n">
        <v>2</v>
      </c>
      <c r="G92" s="1" t="n">
        <v>2</v>
      </c>
      <c r="H92" s="1" t="inlineStr">
        <is>
          <t>100%</t>
        </is>
      </c>
      <c r="I92" s="1" t="n">
        <v/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/>
      </c>
    </row>
    <row r="93">
      <c r="A93" s="1" t="inlineStr">
        <is>
          <t>南一</t>
        </is>
      </c>
      <c r="B93" s="1" t="inlineStr">
        <is>
          <t>文賢</t>
        </is>
      </c>
      <c r="C93" s="4" t="n">
        <v>259127</v>
      </c>
      <c r="D93" s="1" t="inlineStr">
        <is>
          <t>2026/01/04</t>
        </is>
      </c>
      <c r="E93" s="1" t="inlineStr">
        <is>
          <t>陳O萱</t>
        </is>
      </c>
      <c r="F93" s="1" t="n">
        <v>5</v>
      </c>
      <c r="G93" s="1" t="n">
        <v>5</v>
      </c>
      <c r="H93" s="1" t="inlineStr">
        <is>
          <t>100%</t>
        </is>
      </c>
      <c r="I93" s="1" t="n">
        <v/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/>
      </c>
    </row>
    <row r="94">
      <c r="A94" s="1" t="inlineStr">
        <is>
          <t>北二</t>
        </is>
      </c>
      <c r="B94" s="1" t="inlineStr">
        <is>
          <t>景后</t>
        </is>
      </c>
      <c r="C94" s="4" t="n">
        <v>287878</v>
      </c>
      <c r="D94" s="1" t="inlineStr">
        <is>
          <t>2026/01/12</t>
        </is>
      </c>
      <c r="E94" s="1" t="inlineStr">
        <is>
          <t>郭O昌</t>
        </is>
      </c>
      <c r="F94" s="1" t="n">
        <v>5</v>
      </c>
      <c r="G94" s="1" t="n">
        <v>5</v>
      </c>
      <c r="H94" s="1" t="inlineStr">
        <is>
          <t>100%</t>
        </is>
      </c>
      <c r="I94" s="1" t="n">
        <v/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/>
      </c>
    </row>
    <row r="95">
      <c r="A95" s="1" t="inlineStr">
        <is>
          <t>桃竹一</t>
        </is>
      </c>
      <c r="B95" s="1" t="inlineStr">
        <is>
          <t>國田</t>
        </is>
      </c>
      <c r="C95" s="4" t="n">
        <v>287867</v>
      </c>
      <c r="D95" s="1" t="inlineStr">
        <is>
          <t>2026/01/21</t>
        </is>
      </c>
      <c r="E95" s="1" t="inlineStr">
        <is>
          <t>蔡O哲</t>
        </is>
      </c>
      <c r="F95" s="1" t="n">
        <v>5</v>
      </c>
      <c r="G95" s="1" t="n">
        <v>5</v>
      </c>
      <c r="H95" s="1" t="inlineStr">
        <is>
          <t>100%</t>
        </is>
      </c>
      <c r="I95" s="1" t="n">
        <v/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/>
      </c>
    </row>
    <row r="96">
      <c r="A96" s="1" t="inlineStr">
        <is>
          <t>南二</t>
        </is>
      </c>
      <c r="B96" s="1" t="inlineStr">
        <is>
          <t>長濱</t>
        </is>
      </c>
      <c r="C96" s="4" t="n">
        <v>287959</v>
      </c>
      <c r="D96" s="1" t="inlineStr">
        <is>
          <t>2026/01/18</t>
        </is>
      </c>
      <c r="E96" s="1" t="inlineStr">
        <is>
          <t>林O均</t>
        </is>
      </c>
      <c r="F96" s="1" t="n">
        <v>5</v>
      </c>
      <c r="G96" s="1" t="n">
        <v>5</v>
      </c>
      <c r="H96" s="1" t="inlineStr">
        <is>
          <t>100%</t>
        </is>
      </c>
      <c r="I96" s="1" t="n">
        <v/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/>
      </c>
    </row>
    <row r="97">
      <c r="A97" s="1" t="inlineStr">
        <is>
          <t>南二</t>
        </is>
      </c>
      <c r="B97" s="1" t="inlineStr">
        <is>
          <t>幸福灣</t>
        </is>
      </c>
      <c r="C97" s="4" t="n">
        <v>288000</v>
      </c>
      <c r="D97" s="1" t="inlineStr">
        <is>
          <t>2026/01/17</t>
        </is>
      </c>
      <c r="E97" s="1" t="inlineStr">
        <is>
          <t>林O均</t>
        </is>
      </c>
      <c r="F97" s="1" t="n">
        <v>5</v>
      </c>
      <c r="G97" s="1" t="n">
        <v>5</v>
      </c>
      <c r="H97" s="1" t="inlineStr">
        <is>
          <t>100%</t>
        </is>
      </c>
      <c r="I97" s="1" t="n">
        <v/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/>
      </c>
    </row>
    <row r="98">
      <c r="A98" s="1" t="inlineStr">
        <is>
          <t>北二</t>
        </is>
      </c>
      <c r="B98" s="1" t="inlineStr">
        <is>
          <t>裕隆</t>
        </is>
      </c>
      <c r="C98" s="4" t="n">
        <v>288022</v>
      </c>
      <c r="D98" s="1" t="inlineStr">
        <is>
          <t>2026/01/20</t>
        </is>
      </c>
      <c r="E98" s="1" t="inlineStr">
        <is>
          <t>郭O昌</t>
        </is>
      </c>
      <c r="F98" s="1" t="n">
        <v>5</v>
      </c>
      <c r="G98" s="1" t="n">
        <v>5</v>
      </c>
      <c r="H98" s="1" t="inlineStr">
        <is>
          <t>100%</t>
        </is>
      </c>
      <c r="I98" s="1" t="n">
        <v/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/>
      </c>
    </row>
    <row r="99">
      <c r="A99" s="1" t="inlineStr">
        <is>
          <t>北二</t>
        </is>
      </c>
      <c r="B99" s="1" t="inlineStr">
        <is>
          <t>海風</t>
        </is>
      </c>
      <c r="C99" s="4" t="n">
        <v>257523</v>
      </c>
      <c r="D99" s="1" t="inlineStr">
        <is>
          <t>2026/02/10</t>
        </is>
      </c>
      <c r="E99" s="1" t="inlineStr">
        <is>
          <t>朱O平</t>
        </is>
      </c>
      <c r="F99" s="1" t="n">
        <v>5</v>
      </c>
      <c r="G99" s="1" t="n">
        <v>5</v>
      </c>
      <c r="H99" s="1" t="inlineStr">
        <is>
          <t>100%</t>
        </is>
      </c>
      <c r="I99" s="1" t="n">
        <v/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/>
      </c>
    </row>
    <row r="100">
      <c r="A100" s="1" t="inlineStr">
        <is>
          <t>中二</t>
        </is>
      </c>
      <c r="B100" s="1" t="inlineStr">
        <is>
          <t>五條港</t>
        </is>
      </c>
      <c r="C100" s="4" t="n">
        <v>258755</v>
      </c>
      <c r="D100" s="1" t="inlineStr">
        <is>
          <t>2026/01/17</t>
        </is>
      </c>
      <c r="E100" s="1" t="inlineStr">
        <is>
          <t>吳O峰</t>
        </is>
      </c>
      <c r="F100" s="1" t="n">
        <v>5</v>
      </c>
      <c r="G100" s="1" t="n">
        <v>5</v>
      </c>
      <c r="H100" s="1" t="inlineStr">
        <is>
          <t>100%</t>
        </is>
      </c>
      <c r="I100" s="1" t="n">
        <v/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/>
      </c>
    </row>
    <row r="101">
      <c r="A101" s="1" t="inlineStr">
        <is>
          <t>中二</t>
        </is>
      </c>
      <c r="B101" s="1" t="inlineStr">
        <is>
          <t>三勝</t>
        </is>
      </c>
      <c r="C101" s="4" t="n">
        <v>266077</v>
      </c>
      <c r="D101" s="1" t="inlineStr">
        <is>
          <t>2026/01/18</t>
        </is>
      </c>
      <c r="E101" s="1" t="inlineStr">
        <is>
          <t>吳O峰</t>
        </is>
      </c>
      <c r="F101" s="1" t="n">
        <v>5</v>
      </c>
      <c r="G101" s="1" t="n">
        <v>5</v>
      </c>
      <c r="H101" s="1" t="inlineStr">
        <is>
          <t>100%</t>
        </is>
      </c>
      <c r="I101" s="1" t="n">
        <v/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/>
      </c>
    </row>
    <row r="102">
      <c r="A102" s="1" t="inlineStr">
        <is>
          <t>南二</t>
        </is>
      </c>
      <c r="B102" s="1" t="inlineStr">
        <is>
          <t>學業</t>
        </is>
      </c>
      <c r="C102" s="4" t="n">
        <v>265683</v>
      </c>
      <c r="D102" s="1" t="inlineStr">
        <is>
          <t>2026/01/31</t>
        </is>
      </c>
      <c r="E102" s="1" t="inlineStr">
        <is>
          <t>徐辜O綺</t>
        </is>
      </c>
      <c r="F102" s="1" t="n">
        <v>5</v>
      </c>
      <c r="G102" s="1" t="n">
        <v>5</v>
      </c>
      <c r="H102" s="1" t="inlineStr">
        <is>
          <t>100%</t>
        </is>
      </c>
      <c r="I102" s="1" t="n">
        <v/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/>
      </c>
    </row>
    <row r="103">
      <c r="A103" s="1" t="inlineStr">
        <is>
          <t>北一</t>
        </is>
      </c>
      <c r="B103" s="1" t="inlineStr">
        <is>
          <t>新工農</t>
        </is>
      </c>
      <c r="C103" s="4" t="n">
        <v>268408</v>
      </c>
      <c r="D103" s="1" t="inlineStr">
        <is>
          <t>2026/01/31</t>
        </is>
      </c>
      <c r="E103" s="1" t="inlineStr">
        <is>
          <t>宋O源</t>
        </is>
      </c>
      <c r="F103" s="1" t="n">
        <v>5</v>
      </c>
      <c r="G103" s="1" t="n">
        <v>5</v>
      </c>
      <c r="H103" s="1" t="inlineStr">
        <is>
          <t>100%</t>
        </is>
      </c>
      <c r="I103" s="1" t="n">
        <v/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/>
      </c>
    </row>
    <row r="104">
      <c r="A104" s="1" t="inlineStr">
        <is>
          <t>南一</t>
        </is>
      </c>
      <c r="B104" s="1" t="inlineStr">
        <is>
          <t>亞熱帶</t>
        </is>
      </c>
      <c r="C104" s="4" t="n">
        <v>259057</v>
      </c>
      <c r="D104" s="1" t="inlineStr">
        <is>
          <t>2026/01/22</t>
        </is>
      </c>
      <c r="E104" s="1" t="inlineStr">
        <is>
          <t>陳O萱</t>
        </is>
      </c>
      <c r="F104" s="1" t="n">
        <v>5</v>
      </c>
      <c r="G104" s="1" t="n">
        <v>5</v>
      </c>
      <c r="H104" s="1" t="inlineStr">
        <is>
          <t>100%</t>
        </is>
      </c>
      <c r="I104" s="1" t="n">
        <v/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/>
      </c>
    </row>
    <row r="105">
      <c r="A105" s="1" t="inlineStr">
        <is>
          <t>中二</t>
        </is>
      </c>
      <c r="B105" s="1" t="inlineStr">
        <is>
          <t>內埔仔</t>
        </is>
      </c>
      <c r="C105" s="4" t="n">
        <v>288365</v>
      </c>
      <c r="D105" s="1" t="inlineStr">
        <is>
          <t>2026/01/24</t>
        </is>
      </c>
      <c r="E105" s="1" t="inlineStr">
        <is>
          <t>吳O峰</t>
        </is>
      </c>
      <c r="F105" s="1" t="n">
        <v>5</v>
      </c>
      <c r="G105" s="1" t="n">
        <v>5</v>
      </c>
      <c r="H105" s="1" t="inlineStr">
        <is>
          <t>100%</t>
        </is>
      </c>
      <c r="I105" s="1" t="n">
        <v/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/>
      </c>
    </row>
    <row r="106">
      <c r="A106" s="1" t="inlineStr">
        <is>
          <t>南二</t>
        </is>
      </c>
      <c r="B106" s="1" t="inlineStr">
        <is>
          <t>滿溢</t>
        </is>
      </c>
      <c r="C106" s="4" t="n">
        <v>269423</v>
      </c>
      <c r="D106" s="1" t="inlineStr">
        <is>
          <t>2026/02/09</t>
        </is>
      </c>
      <c r="E106" s="1" t="inlineStr">
        <is>
          <t>徐辜O綺</t>
        </is>
      </c>
      <c r="F106" s="1" t="n">
        <v>5</v>
      </c>
      <c r="G106" s="1" t="n">
        <v>5</v>
      </c>
      <c r="H106" s="1" t="inlineStr">
        <is>
          <t>100%</t>
        </is>
      </c>
      <c r="I106" s="1" t="n">
        <v/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/>
      </c>
    </row>
    <row r="107">
      <c r="A107" s="1" t="inlineStr">
        <is>
          <t>北三</t>
        </is>
      </c>
      <c r="B107" s="1" t="inlineStr">
        <is>
          <t>新恆</t>
        </is>
      </c>
      <c r="C107" s="4" t="n">
        <v>287937</v>
      </c>
      <c r="D107" s="1" t="inlineStr">
        <is>
          <t>2026/02/04</t>
        </is>
      </c>
      <c r="E107" s="1" t="inlineStr">
        <is>
          <t>黃O鴻</t>
        </is>
      </c>
      <c r="F107" s="1" t="n">
        <v>5</v>
      </c>
      <c r="G107" s="1" t="n">
        <v>5</v>
      </c>
      <c r="H107" s="1" t="inlineStr">
        <is>
          <t>100%</t>
        </is>
      </c>
      <c r="I107" s="1" t="n">
        <v/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/>
      </c>
    </row>
    <row r="108">
      <c r="A108" s="1" t="inlineStr">
        <is>
          <t>桃竹一</t>
        </is>
      </c>
      <c r="B108" s="1" t="inlineStr">
        <is>
          <t>富展</t>
        </is>
      </c>
      <c r="C108" s="4" t="n">
        <v>236478</v>
      </c>
      <c r="D108" s="1" t="inlineStr">
        <is>
          <t>2026/01/27</t>
        </is>
      </c>
      <c r="E108" s="1" t="inlineStr">
        <is>
          <t>王O誠</t>
        </is>
      </c>
      <c r="F108" s="1" t="n">
        <v>5</v>
      </c>
      <c r="G108" s="1" t="n">
        <v>5</v>
      </c>
      <c r="H108" s="1" t="inlineStr">
        <is>
          <t>100%</t>
        </is>
      </c>
      <c r="I108" s="1" t="n">
        <v/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/>
      </c>
    </row>
    <row r="109">
      <c r="A109" s="1" t="inlineStr">
        <is>
          <t>北二</t>
        </is>
      </c>
      <c r="B109" s="1" t="inlineStr">
        <is>
          <t>福嘉</t>
        </is>
      </c>
      <c r="C109" s="4" t="n">
        <v>287948</v>
      </c>
      <c r="D109" s="1" t="inlineStr">
        <is>
          <t>2026/02/05</t>
        </is>
      </c>
      <c r="E109" s="1" t="inlineStr">
        <is>
          <t>朱O平</t>
        </is>
      </c>
      <c r="F109" s="1" t="n">
        <v>5</v>
      </c>
      <c r="G109" s="1" t="n">
        <v>5</v>
      </c>
      <c r="H109" s="1" t="inlineStr">
        <is>
          <t>100%</t>
        </is>
      </c>
      <c r="I109" s="1" t="n">
        <v/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/>
      </c>
    </row>
    <row r="110">
      <c r="A110" s="1" t="inlineStr">
        <is>
          <t>北二</t>
        </is>
      </c>
      <c r="B110" s="1" t="inlineStr">
        <is>
          <t>美好</t>
        </is>
      </c>
      <c r="C110" s="4" t="n">
        <v>269755</v>
      </c>
      <c r="D110" s="1" t="inlineStr">
        <is>
          <t>2026/02/11</t>
        </is>
      </c>
      <c r="E110" s="1" t="inlineStr">
        <is>
          <t>朱O平</t>
        </is>
      </c>
      <c r="F110" s="1" t="n">
        <v>5</v>
      </c>
      <c r="G110" s="1" t="n">
        <v>5</v>
      </c>
      <c r="H110" s="1" t="inlineStr">
        <is>
          <t>100%</t>
        </is>
      </c>
      <c r="I110" s="1" t="n">
        <v/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/>
      </c>
    </row>
    <row r="111">
      <c r="A111" s="1" t="inlineStr">
        <is>
          <t>南一</t>
        </is>
      </c>
      <c r="B111" s="1" t="inlineStr">
        <is>
          <t>P7廠</t>
        </is>
      </c>
      <c r="C111" s="4" t="n">
        <v>153755</v>
      </c>
      <c r="D111" s="1" t="inlineStr">
        <is>
          <t>2026/02/11</t>
        </is>
      </c>
      <c r="E111" s="1" t="inlineStr">
        <is>
          <t>黃O昇</t>
        </is>
      </c>
      <c r="F111" s="1" t="n">
        <v>2</v>
      </c>
      <c r="G111" s="1" t="n">
        <v>2</v>
      </c>
      <c r="H111" s="1" t="inlineStr">
        <is>
          <t>100%</t>
        </is>
      </c>
      <c r="I111" s="1" t="n">
        <v/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/>
      </c>
    </row>
    <row r="112">
      <c r="A112" s="1" t="inlineStr">
        <is>
          <t>北一</t>
        </is>
      </c>
      <c r="B112" s="1" t="inlineStr">
        <is>
          <t>南機場</t>
        </is>
      </c>
      <c r="C112" s="4" t="n">
        <v>269320</v>
      </c>
      <c r="D112" s="1" t="inlineStr">
        <is>
          <t>2026/01/31</t>
        </is>
      </c>
      <c r="E112" s="1" t="inlineStr">
        <is>
          <t>李O峻</t>
        </is>
      </c>
      <c r="F112" s="1" t="n">
        <v>5</v>
      </c>
      <c r="G112" s="1" t="n">
        <v>5</v>
      </c>
      <c r="H112" s="1" t="inlineStr">
        <is>
          <t>100%</t>
        </is>
      </c>
      <c r="I112" s="1" t="n">
        <v/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/>
      </c>
    </row>
    <row r="113">
      <c r="A113" s="1" t="inlineStr">
        <is>
          <t>北一</t>
        </is>
      </c>
      <c r="B113" s="1" t="inlineStr">
        <is>
          <t>德松</t>
        </is>
      </c>
      <c r="C113" s="4" t="n">
        <v>269456</v>
      </c>
      <c r="D113" s="1" t="inlineStr">
        <is>
          <t>2026/02/04</t>
        </is>
      </c>
      <c r="E113" s="1" t="inlineStr">
        <is>
          <t>李O峻</t>
        </is>
      </c>
      <c r="F113" s="1" t="n">
        <v>5</v>
      </c>
      <c r="G113" s="1" t="n">
        <v>5</v>
      </c>
      <c r="H113" s="1" t="inlineStr">
        <is>
          <t>100%</t>
        </is>
      </c>
      <c r="I113" s="1" t="n">
        <v/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/>
      </c>
    </row>
    <row r="114">
      <c r="A114" s="1" t="inlineStr">
        <is>
          <t>桃竹一</t>
        </is>
      </c>
      <c r="B114" s="1" t="inlineStr">
        <is>
          <t>竹星</t>
        </is>
      </c>
      <c r="C114" s="4" t="n">
        <v>267346</v>
      </c>
      <c r="D114" s="1" t="inlineStr">
        <is>
          <t>2026/01/28</t>
        </is>
      </c>
      <c r="E114" s="1" t="inlineStr">
        <is>
          <t>蔡O哲</t>
        </is>
      </c>
      <c r="F114" s="1" t="n">
        <v>5</v>
      </c>
      <c r="G114" s="1" t="n">
        <v>5</v>
      </c>
      <c r="H114" s="1" t="inlineStr">
        <is>
          <t>100%</t>
        </is>
      </c>
      <c r="I114" s="1" t="n">
        <v/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/>
      </c>
    </row>
    <row r="115">
      <c r="A115" s="1" t="inlineStr">
        <is>
          <t>南一</t>
        </is>
      </c>
      <c r="B115" s="1" t="inlineStr">
        <is>
          <t>文鈺</t>
        </is>
      </c>
      <c r="C115" s="4" t="n">
        <v>259828</v>
      </c>
      <c r="D115" s="1" t="inlineStr">
        <is>
          <t>2026/01/30</t>
        </is>
      </c>
      <c r="E115" s="1" t="inlineStr">
        <is>
          <t>陳O萱</t>
        </is>
      </c>
      <c r="F115" s="1" t="n">
        <v>5</v>
      </c>
      <c r="G115" s="1" t="n">
        <v>5</v>
      </c>
      <c r="H115" s="1" t="inlineStr">
        <is>
          <t>100%</t>
        </is>
      </c>
      <c r="I115" s="1" t="n">
        <v/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/>
      </c>
    </row>
    <row r="116">
      <c r="A116" s="1" t="inlineStr">
        <is>
          <t>桃竹二</t>
        </is>
      </c>
      <c r="B116" s="1" t="inlineStr">
        <is>
          <t>金大埔</t>
        </is>
      </c>
      <c r="C116" s="4" t="n">
        <v>266354</v>
      </c>
      <c r="D116" s="1" t="inlineStr">
        <is>
          <t>2026/01/26</t>
        </is>
      </c>
      <c r="E116" s="1" t="inlineStr">
        <is>
          <t>陳O瑋</t>
        </is>
      </c>
      <c r="F116" s="1" t="n">
        <v>5</v>
      </c>
      <c r="G116" s="1" t="n">
        <v>5</v>
      </c>
      <c r="H116" s="1" t="inlineStr">
        <is>
          <t>100%</t>
        </is>
      </c>
      <c r="I116" s="1" t="n">
        <v/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/>
      </c>
    </row>
    <row r="117">
      <c r="A117" s="1" t="inlineStr">
        <is>
          <t>桃竹二</t>
        </is>
      </c>
      <c r="B117" s="1" t="inlineStr">
        <is>
          <t>龍鳳</t>
        </is>
      </c>
      <c r="C117" s="4" t="n">
        <v>267173</v>
      </c>
      <c r="D117" s="1" t="inlineStr">
        <is>
          <t>2026/01/28</t>
        </is>
      </c>
      <c r="E117" s="1" t="inlineStr">
        <is>
          <t>陳O瑋</t>
        </is>
      </c>
      <c r="F117" s="1" t="n">
        <v>5</v>
      </c>
      <c r="G117" s="1" t="n">
        <v>5</v>
      </c>
      <c r="H117" s="1" t="inlineStr">
        <is>
          <t>100%</t>
        </is>
      </c>
      <c r="I117" s="1" t="n">
        <v/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/>
      </c>
    </row>
    <row r="118">
      <c r="A118" s="1" t="inlineStr">
        <is>
          <t>北一</t>
        </is>
      </c>
      <c r="B118" s="1" t="inlineStr">
        <is>
          <t>直武</t>
        </is>
      </c>
      <c r="C118" s="4" t="n">
        <v>269490</v>
      </c>
      <c r="D118" s="1" t="inlineStr">
        <is>
          <t>2026/01/28</t>
        </is>
      </c>
      <c r="E118" s="1" t="inlineStr">
        <is>
          <t>林O盛</t>
        </is>
      </c>
      <c r="F118" s="1" t="n">
        <v>5</v>
      </c>
      <c r="G118" s="1" t="n">
        <v>5</v>
      </c>
      <c r="H118" s="1" t="inlineStr">
        <is>
          <t>100%</t>
        </is>
      </c>
      <c r="I118" s="1" t="n">
        <v/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/>
      </c>
    </row>
    <row r="119">
      <c r="A119" s="1" t="inlineStr">
        <is>
          <t>中一</t>
        </is>
      </c>
      <c r="B119" s="1" t="inlineStr">
        <is>
          <t>逢文</t>
        </is>
      </c>
      <c r="C119" s="4" t="n">
        <v>288309</v>
      </c>
      <c r="D119" s="1" t="inlineStr">
        <is>
          <t>2026/01/28</t>
        </is>
      </c>
      <c r="E119" s="1" t="inlineStr">
        <is>
          <t>林O芃</t>
        </is>
      </c>
      <c r="F119" s="1" t="n">
        <v>5</v>
      </c>
      <c r="G119" s="1" t="n">
        <v>5</v>
      </c>
      <c r="H119" s="1" t="inlineStr">
        <is>
          <t>100%</t>
        </is>
      </c>
      <c r="I119" s="1" t="n">
        <v/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/>
      </c>
    </row>
    <row r="120">
      <c r="A120" s="1" t="inlineStr">
        <is>
          <t>中一</t>
        </is>
      </c>
      <c r="B120" s="1" t="inlineStr">
        <is>
          <t>東興一</t>
        </is>
      </c>
      <c r="C120" s="4" t="n">
        <v>287915</v>
      </c>
      <c r="D120" s="1" t="inlineStr">
        <is>
          <t>2026/01/28</t>
        </is>
      </c>
      <c r="E120" s="1" t="inlineStr">
        <is>
          <t>施O暉</t>
        </is>
      </c>
      <c r="F120" s="1" t="n">
        <v>5</v>
      </c>
      <c r="G120" s="1" t="n">
        <v>5</v>
      </c>
      <c r="H120" s="1" t="inlineStr">
        <is>
          <t>100%</t>
        </is>
      </c>
      <c r="I120" s="1" t="n">
        <v/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/>
      </c>
    </row>
    <row r="121">
      <c r="A121" s="1" t="inlineStr">
        <is>
          <t>中一</t>
        </is>
      </c>
      <c r="B121" s="1" t="inlineStr">
        <is>
          <t>東晉</t>
        </is>
      </c>
      <c r="C121" s="4" t="n">
        <v>269766</v>
      </c>
      <c r="D121" s="1" t="inlineStr">
        <is>
          <t>2026/01/24</t>
        </is>
      </c>
      <c r="E121" s="1" t="inlineStr">
        <is>
          <t>陳O任</t>
        </is>
      </c>
      <c r="F121" s="1" t="n">
        <v>3</v>
      </c>
      <c r="G121" s="1" t="n">
        <v>5</v>
      </c>
      <c r="H121" s="1" t="inlineStr">
        <is>
          <t>60%</t>
        </is>
      </c>
      <c r="I121" s="1" t="inlineStr">
        <is>
          <t>*表單上傳-工程施工品質查檢單、初驗單未完成</t>
        </is>
      </c>
      <c r="J121" s="1" t="n">
        <v>1</v>
      </c>
      <c r="K121" s="1" t="n">
        <v>0</v>
      </c>
      <c r="L121" s="1" t="n">
        <v>0</v>
      </c>
      <c r="M121" s="1" t="n">
        <v>0</v>
      </c>
      <c r="N121" s="1" t="n">
        <v>1</v>
      </c>
      <c r="O121" s="1" t="n">
        <v>2</v>
      </c>
      <c r="P121" s="1" t="n">
        <v/>
      </c>
    </row>
    <row r="122">
      <c r="A122" s="1" t="inlineStr">
        <is>
          <t>桃竹二</t>
        </is>
      </c>
      <c r="B122" s="1" t="inlineStr">
        <is>
          <t>登雲</t>
        </is>
      </c>
      <c r="C122" s="4" t="n">
        <v>287801</v>
      </c>
      <c r="D122" s="1" t="inlineStr">
        <is>
          <t>2026/02/11</t>
        </is>
      </c>
      <c r="E122" s="1" t="inlineStr">
        <is>
          <t>陳O信</t>
        </is>
      </c>
      <c r="F122" s="1" t="n">
        <v>5</v>
      </c>
      <c r="G122" s="1" t="n">
        <v>5</v>
      </c>
      <c r="H122" s="1" t="inlineStr">
        <is>
          <t>100%</t>
        </is>
      </c>
      <c r="I122" s="1" t="n">
        <v/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/>
      </c>
    </row>
    <row r="123">
      <c r="A123" s="1" t="inlineStr">
        <is>
          <t>桃竹二</t>
        </is>
      </c>
      <c r="B123" s="1" t="inlineStr">
        <is>
          <t>嘉政二</t>
        </is>
      </c>
      <c r="C123" s="4" t="n">
        <v>288251</v>
      </c>
      <c r="D123" s="1" t="inlineStr">
        <is>
          <t>2026/02/02</t>
        </is>
      </c>
      <c r="E123" s="1" t="inlineStr">
        <is>
          <t>陳O信</t>
        </is>
      </c>
      <c r="F123" s="1" t="n">
        <v>5</v>
      </c>
      <c r="G123" s="1" t="n">
        <v>5</v>
      </c>
      <c r="H123" s="1" t="inlineStr">
        <is>
          <t>100%</t>
        </is>
      </c>
      <c r="I123" s="1" t="n">
        <v/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/>
      </c>
    </row>
    <row r="124">
      <c r="A124" s="1" t="inlineStr">
        <is>
          <t>北一</t>
        </is>
      </c>
      <c r="B124" s="1" t="inlineStr">
        <is>
          <t>監理所</t>
        </is>
      </c>
      <c r="C124" s="4" t="n">
        <v>288066</v>
      </c>
      <c r="D124" s="1" t="inlineStr">
        <is>
          <t>2026/02/03</t>
        </is>
      </c>
      <c r="E124" s="1" t="inlineStr">
        <is>
          <t>宋O源</t>
        </is>
      </c>
      <c r="F124" s="1" t="n">
        <v>5</v>
      </c>
      <c r="G124" s="1" t="n">
        <v>5</v>
      </c>
      <c r="H124" s="1" t="inlineStr">
        <is>
          <t>100%</t>
        </is>
      </c>
      <c r="I124" s="1" t="n">
        <v/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/>
      </c>
    </row>
    <row r="125">
      <c r="A125" s="1" t="inlineStr">
        <is>
          <t>北一</t>
        </is>
      </c>
      <c r="B125" s="1" t="inlineStr">
        <is>
          <t>復大</t>
        </is>
      </c>
      <c r="C125" s="4" t="n">
        <v>288099</v>
      </c>
      <c r="D125" s="1" t="inlineStr">
        <is>
          <t>2026/01/22</t>
        </is>
      </c>
      <c r="E125" s="1" t="inlineStr">
        <is>
          <t>林O盛</t>
        </is>
      </c>
      <c r="F125" s="1" t="n">
        <v>5</v>
      </c>
      <c r="G125" s="1" t="n">
        <v>5</v>
      </c>
      <c r="H125" s="1" t="inlineStr">
        <is>
          <t>100%</t>
        </is>
      </c>
      <c r="I125" s="1" t="n">
        <v/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/>
      </c>
    </row>
    <row r="126">
      <c r="A126" s="1" t="inlineStr">
        <is>
          <t>桃竹一</t>
        </is>
      </c>
      <c r="B126" s="1" t="inlineStr">
        <is>
          <t>樂嘉</t>
        </is>
      </c>
      <c r="C126" s="4" t="n">
        <v>288321</v>
      </c>
      <c r="D126" s="1" t="inlineStr">
        <is>
          <t>2026/02/04</t>
        </is>
      </c>
      <c r="E126" s="1" t="inlineStr">
        <is>
          <t>蔡O哲</t>
        </is>
      </c>
      <c r="F126" s="1" t="n">
        <v>5</v>
      </c>
      <c r="G126" s="1" t="n">
        <v>5</v>
      </c>
      <c r="H126" s="1" t="inlineStr">
        <is>
          <t>100%</t>
        </is>
      </c>
      <c r="I126" s="1" t="n">
        <v/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/>
      </c>
    </row>
    <row r="127">
      <c r="A127" s="1" t="inlineStr">
        <is>
          <t>桃竹一</t>
        </is>
      </c>
      <c r="B127" s="1" t="inlineStr">
        <is>
          <t>永詠</t>
        </is>
      </c>
      <c r="C127" s="4" t="n">
        <v>288077</v>
      </c>
      <c r="D127" s="1" t="inlineStr">
        <is>
          <t>2026/02/28</t>
        </is>
      </c>
      <c r="E127" s="1" t="inlineStr">
        <is>
          <t>蔡O哲</t>
        </is>
      </c>
      <c r="F127" s="1" t="n">
        <v>5</v>
      </c>
      <c r="G127" s="1" t="n">
        <v>5</v>
      </c>
      <c r="H127" s="1" t="inlineStr">
        <is>
          <t>100%</t>
        </is>
      </c>
      <c r="I127" s="1" t="n">
        <v/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/>
      </c>
    </row>
    <row r="128">
      <c r="A128" s="1" t="inlineStr">
        <is>
          <t>桃竹一</t>
        </is>
      </c>
      <c r="B128" s="1" t="inlineStr">
        <is>
          <t>桃漾</t>
        </is>
      </c>
      <c r="C128" s="4" t="n">
        <v>288594</v>
      </c>
      <c r="D128" s="1" t="inlineStr">
        <is>
          <t>2026/01/30</t>
        </is>
      </c>
      <c r="E128" s="1" t="inlineStr">
        <is>
          <t>王O誠</t>
        </is>
      </c>
      <c r="F128" s="1" t="n">
        <v>5</v>
      </c>
      <c r="G128" s="1" t="n">
        <v>5</v>
      </c>
      <c r="H128" s="1" t="inlineStr">
        <is>
          <t>100%</t>
        </is>
      </c>
      <c r="I128" s="1" t="n">
        <v/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/>
      </c>
    </row>
    <row r="129">
      <c r="A129" s="1" t="inlineStr">
        <is>
          <t>南二</t>
        </is>
      </c>
      <c r="B129" s="1" t="inlineStr">
        <is>
          <t>新華崇</t>
        </is>
      </c>
      <c r="C129" s="4" t="n">
        <v>288169</v>
      </c>
      <c r="D129" s="1" t="inlineStr">
        <is>
          <t>2026/02/12</t>
        </is>
      </c>
      <c r="E129" s="1" t="inlineStr">
        <is>
          <t>施O樺</t>
        </is>
      </c>
      <c r="F129" s="1" t="n">
        <v>5</v>
      </c>
      <c r="G129" s="1" t="n">
        <v>5</v>
      </c>
      <c r="H129" s="1" t="inlineStr">
        <is>
          <t>100%</t>
        </is>
      </c>
      <c r="I129" s="1" t="n">
        <v/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/>
      </c>
    </row>
    <row r="130">
      <c r="A130" s="1" t="inlineStr">
        <is>
          <t>南二</t>
        </is>
      </c>
      <c r="B130" s="1" t="inlineStr">
        <is>
          <t>松華</t>
        </is>
      </c>
      <c r="C130" s="4" t="n">
        <v>288332</v>
      </c>
      <c r="D130" s="1" t="inlineStr">
        <is>
          <t>2026/02/09</t>
        </is>
      </c>
      <c r="E130" s="1" t="inlineStr">
        <is>
          <t>徐辜O綺</t>
        </is>
      </c>
      <c r="F130" s="1" t="n">
        <v>5</v>
      </c>
      <c r="G130" s="1" t="n">
        <v>5</v>
      </c>
      <c r="H130" s="1" t="inlineStr">
        <is>
          <t>100%</t>
        </is>
      </c>
      <c r="I130" s="1" t="n">
        <v/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/>
      </c>
    </row>
    <row r="131">
      <c r="A131" s="1" t="inlineStr">
        <is>
          <t>南二</t>
        </is>
      </c>
      <c r="B131" s="1" t="inlineStr">
        <is>
          <t>力行</t>
        </is>
      </c>
      <c r="C131" s="4" t="n">
        <v>258906</v>
      </c>
      <c r="D131" s="1" t="inlineStr">
        <is>
          <t>2026/02/11</t>
        </is>
      </c>
      <c r="E131" s="1" t="inlineStr">
        <is>
          <t>徐辜O綺</t>
        </is>
      </c>
      <c r="F131" s="1" t="n">
        <v>5</v>
      </c>
      <c r="G131" s="1" t="n">
        <v>5</v>
      </c>
      <c r="H131" s="1" t="inlineStr">
        <is>
          <t>100%</t>
        </is>
      </c>
      <c r="I131" s="1" t="n">
        <v/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/>
      </c>
    </row>
    <row r="132">
      <c r="A132" s="1" t="inlineStr">
        <is>
          <t>南一</t>
        </is>
      </c>
      <c r="B132" s="1" t="inlineStr">
        <is>
          <t>置地</t>
        </is>
      </c>
      <c r="C132" s="4" t="n">
        <v>259851</v>
      </c>
      <c r="D132" s="1" t="inlineStr">
        <is>
          <t>2026/02/14</t>
        </is>
      </c>
      <c r="E132" s="1" t="inlineStr">
        <is>
          <t>柯O彤</t>
        </is>
      </c>
      <c r="F132" s="1" t="n">
        <v>5</v>
      </c>
      <c r="G132" s="1" t="n">
        <v>5</v>
      </c>
      <c r="H132" s="1" t="inlineStr">
        <is>
          <t>100%</t>
        </is>
      </c>
      <c r="I132" s="1" t="n">
        <v/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/>
      </c>
    </row>
    <row r="133">
      <c r="A133" s="1" t="inlineStr">
        <is>
          <t>桃竹二</t>
        </is>
      </c>
      <c r="B133" s="1" t="inlineStr">
        <is>
          <t>后厝</t>
        </is>
      </c>
      <c r="C133" s="4" t="n">
        <v>267070</v>
      </c>
      <c r="D133" s="1" t="inlineStr">
        <is>
          <t>2026/02/11</t>
        </is>
      </c>
      <c r="E133" s="1" t="inlineStr">
        <is>
          <t>陳O瑋</t>
        </is>
      </c>
      <c r="F133" s="1" t="n">
        <v>5</v>
      </c>
      <c r="G133" s="1" t="n">
        <v>5</v>
      </c>
      <c r="H133" s="1" t="inlineStr">
        <is>
          <t>100%</t>
        </is>
      </c>
      <c r="I133" s="1" t="n">
        <v/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/>
      </c>
    </row>
    <row r="134">
      <c r="A134" s="1" t="inlineStr">
        <is>
          <t>桃竹二</t>
        </is>
      </c>
      <c r="B134" s="1" t="inlineStr">
        <is>
          <t>聖亭</t>
        </is>
      </c>
      <c r="C134" s="4" t="n">
        <v>288424</v>
      </c>
      <c r="D134" s="1" t="inlineStr">
        <is>
          <t>2026/02/13</t>
        </is>
      </c>
      <c r="E134" s="1" t="inlineStr">
        <is>
          <t>陳O瑋</t>
        </is>
      </c>
      <c r="F134" s="1" t="n">
        <v>5</v>
      </c>
      <c r="G134" s="1" t="n">
        <v>5</v>
      </c>
      <c r="H134" s="1" t="inlineStr">
        <is>
          <t>100%</t>
        </is>
      </c>
      <c r="I134" s="1" t="n">
        <v/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/>
      </c>
    </row>
    <row r="135">
      <c r="A135" s="1" t="inlineStr">
        <is>
          <t>中二</t>
        </is>
      </c>
      <c r="B135" s="1" t="inlineStr">
        <is>
          <t>九井</t>
        </is>
      </c>
      <c r="C135" s="4" t="n">
        <v>288088</v>
      </c>
      <c r="D135" s="1" t="inlineStr">
        <is>
          <t>2026/01/31</t>
        </is>
      </c>
      <c r="E135" s="1" t="inlineStr">
        <is>
          <t>葉O昌</t>
        </is>
      </c>
      <c r="F135" s="1" t="n">
        <v>5</v>
      </c>
      <c r="G135" s="1" t="n">
        <v>5</v>
      </c>
      <c r="H135" s="1" t="inlineStr">
        <is>
          <t>100%</t>
        </is>
      </c>
      <c r="I135" s="1" t="n">
        <v/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/>
      </c>
    </row>
    <row r="136">
      <c r="A136" s="1" t="inlineStr">
        <is>
          <t>中二</t>
        </is>
      </c>
      <c r="B136" s="1" t="inlineStr">
        <is>
          <t>義崙</t>
        </is>
      </c>
      <c r="C136" s="4" t="n">
        <v>257626</v>
      </c>
      <c r="D136" s="1" t="inlineStr">
        <is>
          <t>2026/02/09</t>
        </is>
      </c>
      <c r="E136" s="1" t="inlineStr">
        <is>
          <t>葉O昌</t>
        </is>
      </c>
      <c r="F136" s="1" t="n">
        <v>5</v>
      </c>
      <c r="G136" s="1" t="n">
        <v>5</v>
      </c>
      <c r="H136" s="1" t="inlineStr">
        <is>
          <t>100%</t>
        </is>
      </c>
      <c r="I136" s="1" t="n">
        <v/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/>
      </c>
    </row>
    <row r="137">
      <c r="A137" s="1" t="inlineStr">
        <is>
          <t>北二</t>
        </is>
      </c>
      <c r="B137" s="1" t="inlineStr">
        <is>
          <t>辛昌</t>
        </is>
      </c>
      <c r="C137" s="4" t="n">
        <v>288675</v>
      </c>
      <c r="D137" s="1" t="inlineStr">
        <is>
          <t>2026/02/11</t>
        </is>
      </c>
      <c r="E137" s="1" t="inlineStr">
        <is>
          <t>陳O鳳</t>
        </is>
      </c>
      <c r="F137" s="1" t="n">
        <v>5</v>
      </c>
      <c r="G137" s="1" t="n">
        <v>5</v>
      </c>
      <c r="H137" s="1" t="inlineStr">
        <is>
          <t>100%</t>
        </is>
      </c>
      <c r="I137" s="1" t="n">
        <v/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/>
      </c>
    </row>
    <row r="138">
      <c r="A138" s="1" t="inlineStr">
        <is>
          <t>北二</t>
        </is>
      </c>
      <c r="B138" s="1" t="inlineStr">
        <is>
          <t>宜中</t>
        </is>
      </c>
      <c r="C138" s="4" t="n">
        <v>288479</v>
      </c>
      <c r="D138" s="1" t="inlineStr">
        <is>
          <t>2026/02/12</t>
        </is>
      </c>
      <c r="E138" s="1" t="inlineStr">
        <is>
          <t>朱O平</t>
        </is>
      </c>
      <c r="F138" s="1" t="n">
        <v>5</v>
      </c>
      <c r="G138" s="1" t="n">
        <v>5</v>
      </c>
      <c r="H138" s="1" t="inlineStr">
        <is>
          <t>100%</t>
        </is>
      </c>
      <c r="I138" s="1" t="n">
        <v/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/>
      </c>
    </row>
    <row r="139">
      <c r="A139" s="1" t="inlineStr">
        <is>
          <t>中一</t>
        </is>
      </c>
      <c r="B139" s="1" t="inlineStr">
        <is>
          <t>聖麗</t>
        </is>
      </c>
      <c r="C139" s="4" t="n">
        <v>267162</v>
      </c>
      <c r="D139" s="1" t="inlineStr">
        <is>
          <t>2026/02/02</t>
        </is>
      </c>
      <c r="E139" s="1" t="inlineStr">
        <is>
          <t>林O芃</t>
        </is>
      </c>
      <c r="F139" s="1" t="n">
        <v>5</v>
      </c>
      <c r="G139" s="1" t="n">
        <v>5</v>
      </c>
      <c r="H139" s="1" t="inlineStr">
        <is>
          <t>100%</t>
        </is>
      </c>
      <c r="I139" s="1" t="n">
        <v/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/>
      </c>
    </row>
    <row r="140">
      <c r="A140" s="1" t="inlineStr">
        <is>
          <t>北一</t>
        </is>
      </c>
      <c r="B140" s="1" t="inlineStr">
        <is>
          <t>復瑞</t>
        </is>
      </c>
      <c r="C140" s="4" t="n">
        <v>288387</v>
      </c>
      <c r="D140" s="1" t="inlineStr">
        <is>
          <t>2026/02/06</t>
        </is>
      </c>
      <c r="E140" s="1" t="inlineStr">
        <is>
          <t>曾O倫</t>
        </is>
      </c>
      <c r="F140" s="1" t="n">
        <v>4</v>
      </c>
      <c r="G140" s="1" t="n">
        <v>5</v>
      </c>
      <c r="H140" s="1" t="inlineStr">
        <is>
          <t>80%</t>
        </is>
      </c>
      <c r="I140" s="1" t="inlineStr">
        <is>
          <t>初驗單未完成</t>
        </is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1</v>
      </c>
      <c r="O140" s="1" t="n">
        <v>1</v>
      </c>
      <c r="P140" s="1" t="n">
        <v/>
      </c>
    </row>
    <row r="141">
      <c r="A141" s="1" t="inlineStr">
        <is>
          <t>桃竹一</t>
        </is>
      </c>
      <c r="B141" s="1" t="inlineStr">
        <is>
          <t>忠孝一</t>
        </is>
      </c>
      <c r="C141" s="4" t="n">
        <v>260002</v>
      </c>
      <c r="D141" s="1" t="inlineStr">
        <is>
          <t>2026/02/08</t>
        </is>
      </c>
      <c r="E141" s="1" t="inlineStr">
        <is>
          <t>王O誠</t>
        </is>
      </c>
      <c r="F141" s="1" t="n">
        <v>5</v>
      </c>
      <c r="G141" s="1" t="n">
        <v>5</v>
      </c>
      <c r="H141" s="1" t="inlineStr">
        <is>
          <t>100%</t>
        </is>
      </c>
      <c r="I141" s="1" t="n">
        <v/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/>
      </c>
    </row>
    <row r="142">
      <c r="A142" s="1" t="inlineStr">
        <is>
          <t>南二</t>
        </is>
      </c>
      <c r="B142" s="1" t="inlineStr">
        <is>
          <t>那魯ONE</t>
        </is>
      </c>
      <c r="C142" s="4" t="n">
        <v>244228</v>
      </c>
      <c r="D142" s="1" t="inlineStr">
        <is>
          <t>2026/02/09</t>
        </is>
      </c>
      <c r="E142" s="1" t="inlineStr">
        <is>
          <t>林O均</t>
        </is>
      </c>
      <c r="F142" s="1" t="n">
        <v>2</v>
      </c>
      <c r="G142" s="1" t="n">
        <v>5</v>
      </c>
      <c r="H142" s="1" t="inlineStr">
        <is>
          <t>40%</t>
        </is>
      </c>
      <c r="I142" s="1" t="inlineStr">
        <is>
          <t>*表單上傳-勤前簽到記錄表(完工日表單簽名詳細)、*表單上傳-自動查檢表(完工日)、*表單上傳-工程施工品質查檢單、*表單上傳-勞工安全衛生查核紀錄、*門市施工照片(每日)-施工照片(每日)(2026/02/03)、*門市施工照片(每日)-施工照片(每日)(2026/02/03)、*門市施工照片(每日)-施工照片(每日)(2026/02/04)、*門市施工照片(每日)-施工照片(每日)(2026/02/04)、初驗單未完成</t>
        </is>
      </c>
      <c r="J142" s="1" t="n">
        <v>1</v>
      </c>
      <c r="K142" s="1" t="n">
        <v>1</v>
      </c>
      <c r="L142" s="1" t="n">
        <v>0</v>
      </c>
      <c r="M142" s="1" t="n">
        <v>0</v>
      </c>
      <c r="N142" s="1" t="n">
        <v>1</v>
      </c>
      <c r="O142" s="1" t="n">
        <v>3</v>
      </c>
      <c r="P142" s="1" t="n">
        <v/>
      </c>
    </row>
    <row r="143">
      <c r="A143" s="1" t="inlineStr">
        <is>
          <t>桃竹二</t>
        </is>
      </c>
      <c r="B143" s="1" t="inlineStr">
        <is>
          <t>金山六</t>
        </is>
      </c>
      <c r="C143" s="4" t="n">
        <v>288398</v>
      </c>
      <c r="D143" s="1" t="inlineStr">
        <is>
          <t>2026/02/08</t>
        </is>
      </c>
      <c r="E143" s="1" t="inlineStr">
        <is>
          <t>陳O信</t>
        </is>
      </c>
      <c r="F143" s="1" t="n">
        <v>5</v>
      </c>
      <c r="G143" s="1" t="n">
        <v>5</v>
      </c>
      <c r="H143" s="1" t="inlineStr">
        <is>
          <t>100%</t>
        </is>
      </c>
      <c r="I143" s="1" t="n">
        <v/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/>
      </c>
    </row>
    <row r="144">
      <c r="A144" s="1" t="inlineStr">
        <is>
          <t>桃竹二</t>
        </is>
      </c>
      <c r="B144" s="1" t="inlineStr">
        <is>
          <t>鳳竹</t>
        </is>
      </c>
      <c r="C144" s="4" t="n">
        <v>266561</v>
      </c>
      <c r="D144" s="1" t="inlineStr">
        <is>
          <t>2026/02/11</t>
        </is>
      </c>
      <c r="E144" s="1" t="inlineStr">
        <is>
          <t>吳O賢</t>
        </is>
      </c>
      <c r="F144" s="1" t="n">
        <v>5</v>
      </c>
      <c r="G144" s="1" t="n">
        <v>5</v>
      </c>
      <c r="H144" s="1" t="inlineStr">
        <is>
          <t>100%</t>
        </is>
      </c>
      <c r="I144" s="1" t="n">
        <v/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/>
      </c>
    </row>
    <row r="145">
      <c r="A145" s="1" t="inlineStr">
        <is>
          <t>桃竹二</t>
        </is>
      </c>
      <c r="B145" s="1" t="inlineStr">
        <is>
          <t>酷比</t>
        </is>
      </c>
      <c r="C145" s="4" t="n">
        <v>288435</v>
      </c>
      <c r="D145" s="1" t="inlineStr">
        <is>
          <t>2026/02/10</t>
        </is>
      </c>
      <c r="E145" s="1" t="inlineStr">
        <is>
          <t>陳O信</t>
        </is>
      </c>
      <c r="F145" s="1" t="n">
        <v>5</v>
      </c>
      <c r="G145" s="1" t="n">
        <v>5</v>
      </c>
      <c r="H145" s="1" t="inlineStr">
        <is>
          <t>100%</t>
        </is>
      </c>
      <c r="I145" s="1" t="n">
        <v/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/>
      </c>
    </row>
    <row r="146">
      <c r="A146" s="1" t="inlineStr">
        <is>
          <t>北一</t>
        </is>
      </c>
      <c r="B146" s="1" t="inlineStr">
        <is>
          <t>南京東</t>
        </is>
      </c>
      <c r="C146" s="4" t="n">
        <v>288572</v>
      </c>
      <c r="D146" s="1" t="inlineStr">
        <is>
          <t>2026/02/10</t>
        </is>
      </c>
      <c r="E146" s="1" t="inlineStr">
        <is>
          <t>宋O源</t>
        </is>
      </c>
      <c r="F146" s="1" t="n">
        <v>5</v>
      </c>
      <c r="G146" s="1" t="n">
        <v>5</v>
      </c>
      <c r="H146" s="1" t="inlineStr">
        <is>
          <t>100%</t>
        </is>
      </c>
      <c r="I146" s="1" t="n">
        <v/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/>
      </c>
    </row>
    <row r="147">
      <c r="A147" s="1" t="inlineStr">
        <is>
          <t>南一</t>
        </is>
      </c>
      <c r="B147" s="1" t="inlineStr">
        <is>
          <t>萬事通</t>
        </is>
      </c>
      <c r="C147" s="4" t="n">
        <v>288240</v>
      </c>
      <c r="D147" s="1" t="inlineStr">
        <is>
          <t>2026/02/11</t>
        </is>
      </c>
      <c r="E147" s="1" t="inlineStr">
        <is>
          <t>柯O彤</t>
        </is>
      </c>
      <c r="F147" s="1" t="n">
        <v>4</v>
      </c>
      <c r="G147" s="1" t="n">
        <v>5</v>
      </c>
      <c r="H147" s="1" t="inlineStr">
        <is>
          <t>80%</t>
        </is>
      </c>
      <c r="I147" s="1" t="inlineStr">
        <is>
          <t>初驗單未完成</t>
        </is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1</v>
      </c>
      <c r="O147" s="1" t="n">
        <v>1</v>
      </c>
      <c r="P147" s="1" t="n">
        <v/>
      </c>
    </row>
    <row r="148">
      <c r="A148" s="1" t="inlineStr">
        <is>
          <t>桃竹一</t>
        </is>
      </c>
      <c r="B148" s="1" t="inlineStr">
        <is>
          <t>城邦</t>
        </is>
      </c>
      <c r="C148" s="4" t="n">
        <v>132035</v>
      </c>
      <c r="D148" s="1" t="inlineStr">
        <is>
          <t>2026/02/09</t>
        </is>
      </c>
      <c r="E148" s="8">
        <f> "231001"</f>
        <v/>
      </c>
      <c r="F148" s="1" t="n">
        <v>5</v>
      </c>
      <c r="G148" s="1" t="n">
        <v>5</v>
      </c>
      <c r="H148" s="1" t="inlineStr">
        <is>
          <t>100%</t>
        </is>
      </c>
      <c r="I148" s="1" t="n">
        <v/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/>
      </c>
    </row>
    <row r="149">
      <c r="A149" s="1" t="inlineStr">
        <is>
          <t>桃竹一</t>
        </is>
      </c>
      <c r="B149" s="1" t="inlineStr">
        <is>
          <t>角板山</t>
        </is>
      </c>
      <c r="C149" s="4" t="n">
        <v>288527</v>
      </c>
      <c r="D149" s="1" t="inlineStr">
        <is>
          <t>2026/02/13</t>
        </is>
      </c>
      <c r="E149" s="1" t="inlineStr">
        <is>
          <t>王O誠</t>
        </is>
      </c>
      <c r="F149" s="1" t="n">
        <v>5</v>
      </c>
      <c r="G149" s="1" t="n">
        <v>5</v>
      </c>
      <c r="H149" s="1" t="inlineStr">
        <is>
          <t>100%</t>
        </is>
      </c>
      <c r="I149" s="1" t="n">
        <v/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/>
      </c>
    </row>
    <row r="150">
      <c r="A150" s="1" t="inlineStr">
        <is>
          <t>北一</t>
        </is>
      </c>
      <c r="B150" s="1" t="inlineStr">
        <is>
          <t>榮美</t>
        </is>
      </c>
      <c r="C150" s="4" t="n">
        <v>288170</v>
      </c>
      <c r="D150" s="1" t="inlineStr">
        <is>
          <t>2026/02/08</t>
        </is>
      </c>
      <c r="E150" s="1" t="inlineStr">
        <is>
          <t>林O盛</t>
        </is>
      </c>
      <c r="F150" s="1" t="n">
        <v>5</v>
      </c>
      <c r="G150" s="1" t="n">
        <v>5</v>
      </c>
      <c r="H150" s="1" t="inlineStr">
        <is>
          <t>100%</t>
        </is>
      </c>
      <c r="I150" s="1" t="n">
        <v/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/>
      </c>
    </row>
    <row r="151">
      <c r="A151" s="1" t="inlineStr">
        <is>
          <t>北三</t>
        </is>
      </c>
      <c r="B151" s="1" t="inlineStr">
        <is>
          <t>樂生</t>
        </is>
      </c>
      <c r="C151" s="4" t="n">
        <v>288815</v>
      </c>
      <c r="D151" s="1" t="inlineStr">
        <is>
          <t>2026/01/30</t>
        </is>
      </c>
      <c r="E151" s="1" t="inlineStr">
        <is>
          <t>鄭O中</t>
        </is>
      </c>
      <c r="F151" s="1" t="n">
        <v>5</v>
      </c>
      <c r="G151" s="1" t="n">
        <v>5</v>
      </c>
      <c r="H151" s="1" t="inlineStr">
        <is>
          <t>100%</t>
        </is>
      </c>
      <c r="I151" s="1" t="n">
        <v/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/>
      </c>
    </row>
    <row r="152">
      <c r="A152" s="1" t="inlineStr">
        <is>
          <t>桃竹二</t>
        </is>
      </c>
      <c r="B152" s="1" t="inlineStr">
        <is>
          <t>鉅山</t>
        </is>
      </c>
      <c r="C152" s="4" t="n">
        <v>288158</v>
      </c>
      <c r="D152" s="1" t="inlineStr">
        <is>
          <t>2026/02/16</t>
        </is>
      </c>
      <c r="E152" s="1" t="inlineStr">
        <is>
          <t>陳O信</t>
        </is>
      </c>
      <c r="F152" s="1" t="n">
        <v>5</v>
      </c>
      <c r="G152" s="1" t="n">
        <v>5</v>
      </c>
      <c r="H152" s="1" t="inlineStr">
        <is>
          <t>100%</t>
        </is>
      </c>
      <c r="I152" s="1" t="n">
        <v/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/>
      </c>
    </row>
    <row r="153">
      <c r="A153" s="1" t="inlineStr">
        <is>
          <t>南一</t>
        </is>
      </c>
      <c r="B153" s="1" t="inlineStr">
        <is>
          <t>山昌</t>
        </is>
      </c>
      <c r="C153" s="4" t="n">
        <v>288055</v>
      </c>
      <c r="D153" s="1" t="inlineStr">
        <is>
          <t>2026/02/10</t>
        </is>
      </c>
      <c r="E153" s="1" t="inlineStr">
        <is>
          <t>黃O昇</t>
        </is>
      </c>
      <c r="F153" s="1" t="n">
        <v>5</v>
      </c>
      <c r="G153" s="1" t="n">
        <v>5</v>
      </c>
      <c r="H153" s="1" t="inlineStr">
        <is>
          <t>100%</t>
        </is>
      </c>
      <c r="I153" s="1" t="n">
        <v/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/>
      </c>
    </row>
    <row r="154">
      <c r="A154" s="1" t="inlineStr">
        <is>
          <t>中二</t>
        </is>
      </c>
      <c r="B154" s="1" t="inlineStr">
        <is>
          <t>體育場</t>
        </is>
      </c>
      <c r="C154" s="4" t="n">
        <v>269526</v>
      </c>
      <c r="D154" s="1" t="inlineStr">
        <is>
          <t>2026/02/28</t>
        </is>
      </c>
      <c r="E154" s="1" t="inlineStr">
        <is>
          <t>吳O晉</t>
        </is>
      </c>
      <c r="F154" s="1" t="n">
        <v>5</v>
      </c>
      <c r="G154" s="1" t="n">
        <v>5</v>
      </c>
      <c r="H154" s="1" t="inlineStr">
        <is>
          <t>100%</t>
        </is>
      </c>
      <c r="I154" s="1" t="n">
        <v/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/>
      </c>
    </row>
    <row r="155">
      <c r="A155" s="1" t="inlineStr">
        <is>
          <t>北二</t>
        </is>
      </c>
      <c r="B155" s="1" t="inlineStr">
        <is>
          <t>碇遠</t>
        </is>
      </c>
      <c r="C155" s="4" t="n">
        <v>288734</v>
      </c>
      <c r="D155" s="1" t="inlineStr">
        <is>
          <t>2026/02/28</t>
        </is>
      </c>
      <c r="E155" s="1" t="inlineStr">
        <is>
          <t>郭O昌</t>
        </is>
      </c>
      <c r="F155" s="1" t="n">
        <v>5</v>
      </c>
      <c r="G155" s="1" t="n">
        <v>5</v>
      </c>
      <c r="H155" s="1" t="inlineStr">
        <is>
          <t>100%</t>
        </is>
      </c>
      <c r="I155" s="1" t="n">
        <v/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/>
      </c>
    </row>
    <row r="156">
      <c r="A156" s="1" t="inlineStr">
        <is>
          <t>中一</t>
        </is>
      </c>
      <c r="B156" s="1" t="inlineStr">
        <is>
          <t>康寶</t>
        </is>
      </c>
      <c r="C156" s="4" t="n">
        <v>288620</v>
      </c>
      <c r="D156" s="1" t="inlineStr">
        <is>
          <t>2026/02/14</t>
        </is>
      </c>
      <c r="E156" s="1" t="inlineStr">
        <is>
          <t>陳O任</t>
        </is>
      </c>
      <c r="F156" s="1" t="n">
        <v>2</v>
      </c>
      <c r="G156" s="1" t="n">
        <v>2</v>
      </c>
      <c r="H156" s="1" t="inlineStr">
        <is>
          <t>100%</t>
        </is>
      </c>
      <c r="I156" s="1" t="n">
        <v/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/>
      </c>
    </row>
    <row r="157">
      <c r="A157" s="1" t="inlineStr">
        <is>
          <t>南一</t>
        </is>
      </c>
      <c r="B157" s="1" t="inlineStr">
        <is>
          <t>成研</t>
        </is>
      </c>
      <c r="C157" s="4" t="n">
        <v>289069</v>
      </c>
      <c r="D157" s="1" t="inlineStr">
        <is>
          <t>2026/02/23</t>
        </is>
      </c>
      <c r="E157" s="1" t="inlineStr">
        <is>
          <t>陳O榮</t>
        </is>
      </c>
      <c r="F157" s="1" t="n">
        <v>4</v>
      </c>
      <c r="G157" s="1" t="n">
        <v>5</v>
      </c>
      <c r="H157" s="1" t="inlineStr">
        <is>
          <t>80%</t>
        </is>
      </c>
      <c r="I157" s="1" t="inlineStr">
        <is>
          <t>初驗單未完成</t>
        </is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1</v>
      </c>
      <c r="O157" s="1" t="n">
        <v>1</v>
      </c>
      <c r="P157" s="1" t="n">
        <v/>
      </c>
    </row>
    <row r="158">
      <c r="A158" s="1" t="n"/>
      <c r="B158" s="1" t="n"/>
      <c r="C158" s="4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</row>
    <row r="159">
      <c r="A159" s="1" t="n"/>
      <c r="B159" s="1" t="n"/>
      <c r="C159" s="4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</row>
    <row r="160">
      <c r="A160" s="1" t="n"/>
      <c r="B160" s="1" t="n"/>
      <c r="C160" s="4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</row>
    <row r="161">
      <c r="A161" s="1" t="n"/>
      <c r="B161" s="1" t="n"/>
      <c r="C161" s="4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</row>
    <row r="162">
      <c r="A162" s="1" t="n"/>
      <c r="B162" s="1" t="n"/>
      <c r="C162" s="4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</row>
    <row r="163">
      <c r="A163" s="1" t="n"/>
      <c r="B163" s="1" t="n"/>
      <c r="C163" s="4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</row>
    <row r="164">
      <c r="A164" s="1" t="n"/>
      <c r="B164" s="1" t="n"/>
      <c r="C164" s="4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</row>
    <row r="165">
      <c r="A165" s="1" t="n"/>
      <c r="B165" s="1" t="n"/>
      <c r="C165" s="4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</row>
    <row r="166">
      <c r="A166" s="1" t="n"/>
      <c r="B166" s="1" t="n"/>
      <c r="C166" s="4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</row>
    <row r="167">
      <c r="A167" s="1" t="n"/>
      <c r="B167" s="1" t="n"/>
      <c r="C167" s="4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</row>
    <row r="168">
      <c r="A168" s="1" t="n"/>
      <c r="B168" s="1" t="n"/>
      <c r="C168" s="4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</row>
    <row r="169">
      <c r="A169" s="1" t="n"/>
      <c r="B169" s="1" t="n"/>
      <c r="C169" s="4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</row>
    <row r="170">
      <c r="A170" s="1" t="n"/>
      <c r="B170" s="1" t="n"/>
      <c r="C170" s="4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</row>
    <row r="171">
      <c r="A171" s="1" t="n"/>
      <c r="B171" s="1" t="n"/>
      <c r="C171" s="4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</row>
    <row r="172">
      <c r="A172" s="1" t="n"/>
      <c r="B172" s="1" t="n"/>
      <c r="C172" s="4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</row>
    <row r="173">
      <c r="A173" s="1" t="n"/>
      <c r="B173" s="1" t="n"/>
      <c r="C173" s="4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</row>
    <row r="174">
      <c r="A174" s="1" t="n"/>
      <c r="B174" s="1" t="n"/>
      <c r="C174" s="4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</row>
    <row r="175">
      <c r="A175" s="1" t="n"/>
      <c r="B175" s="1" t="n"/>
      <c r="C175" s="4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</row>
    <row r="176">
      <c r="A176" s="1" t="n"/>
      <c r="B176" s="1" t="n"/>
      <c r="C176" s="4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</row>
    <row r="177">
      <c r="A177" s="1" t="n"/>
      <c r="B177" s="1" t="n"/>
      <c r="C177" s="4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</row>
    <row r="178">
      <c r="A178" s="1" t="n"/>
      <c r="B178" s="1" t="n"/>
      <c r="C178" s="4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</row>
    <row r="179">
      <c r="A179" s="1" t="n"/>
      <c r="B179" s="1" t="n"/>
      <c r="C179" s="4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</row>
    <row r="180">
      <c r="A180" s="1" t="n"/>
      <c r="B180" s="1" t="n"/>
      <c r="C180" s="4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</row>
    <row r="181">
      <c r="A181" s="1" t="n"/>
      <c r="B181" s="1" t="n"/>
      <c r="C181" s="4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</row>
    <row r="182">
      <c r="A182" s="1" t="n"/>
      <c r="B182" s="1" t="n"/>
      <c r="C182" s="4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</row>
    <row r="183">
      <c r="A183" s="1" t="n"/>
      <c r="B183" s="1" t="n"/>
      <c r="C183" s="4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</row>
    <row r="184">
      <c r="A184" s="1" t="n"/>
      <c r="B184" s="1" t="n"/>
      <c r="C184" s="4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</row>
    <row r="185">
      <c r="A185" s="1" t="n"/>
      <c r="B185" s="1" t="n"/>
      <c r="C185" s="4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</row>
    <row r="186">
      <c r="A186" s="1" t="n"/>
      <c r="B186" s="1" t="n"/>
      <c r="C186" s="4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</row>
    <row r="187">
      <c r="A187" s="1" t="n"/>
      <c r="B187" s="1" t="n"/>
      <c r="C187" s="4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</row>
    <row r="188">
      <c r="A188" s="1" t="n"/>
      <c r="B188" s="1" t="n"/>
      <c r="C188" s="4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</row>
    <row r="189">
      <c r="A189" s="1" t="n"/>
      <c r="B189" s="1" t="n"/>
      <c r="C189" s="4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</row>
    <row r="190">
      <c r="A190" s="1" t="n"/>
      <c r="B190" s="1" t="n"/>
      <c r="C190" s="4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</row>
    <row r="191">
      <c r="A191" s="1" t="n"/>
      <c r="B191" s="1" t="n"/>
      <c r="C191" s="4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</row>
    <row r="192">
      <c r="A192" s="1" t="n"/>
      <c r="B192" s="1" t="n"/>
      <c r="C192" s="4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</row>
    <row r="193">
      <c r="A193" s="1" t="n"/>
      <c r="B193" s="1" t="n"/>
      <c r="C193" s="4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</row>
    <row r="194">
      <c r="A194" s="1" t="n"/>
      <c r="B194" s="1" t="n"/>
      <c r="C194" s="4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</row>
    <row r="195">
      <c r="A195" s="1" t="n"/>
      <c r="B195" s="1" t="n"/>
      <c r="C195" s="4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</row>
    <row r="196">
      <c r="A196" s="1" t="n"/>
      <c r="B196" s="1" t="n"/>
      <c r="C196" s="4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</row>
    <row r="197">
      <c r="A197" s="1" t="n"/>
      <c r="B197" s="1" t="n"/>
      <c r="C197" s="4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</row>
    <row r="198">
      <c r="A198" s="1" t="n"/>
      <c r="B198" s="1" t="n"/>
      <c r="C198" s="4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</row>
    <row r="199">
      <c r="A199" s="1" t="n"/>
      <c r="B199" s="1" t="n"/>
      <c r="C199" s="4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</row>
    <row r="200">
      <c r="A200" s="1" t="n"/>
      <c r="B200" s="1" t="n"/>
      <c r="C200" s="4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</row>
    <row r="201">
      <c r="A201" s="1" t="n"/>
      <c r="B201" s="1" t="n"/>
      <c r="C201" s="4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</row>
    <row r="202">
      <c r="A202" s="1" t="n"/>
      <c r="B202" s="1" t="n"/>
      <c r="C202" s="4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</row>
    <row r="203">
      <c r="A203" s="1" t="n"/>
      <c r="B203" s="1" t="n"/>
      <c r="C203" s="4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</row>
    <row r="204">
      <c r="A204" s="1" t="n"/>
      <c r="B204" s="1" t="n"/>
      <c r="C204" s="4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</row>
    <row r="205">
      <c r="A205" s="1" t="n"/>
      <c r="B205" s="1" t="n"/>
      <c r="C205" s="4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</row>
    <row r="206">
      <c r="A206" s="1" t="n"/>
      <c r="B206" s="1" t="n"/>
      <c r="C206" s="4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</row>
    <row r="207">
      <c r="A207" s="1" t="n"/>
      <c r="B207" s="1" t="n"/>
      <c r="C207" s="4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</row>
    <row r="208">
      <c r="A208" s="1" t="n"/>
      <c r="B208" s="1" t="n"/>
      <c r="C208" s="4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</row>
    <row r="209">
      <c r="A209" s="1" t="n"/>
      <c r="B209" s="1" t="n"/>
      <c r="C209" s="4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</row>
    <row r="210">
      <c r="A210" s="1" t="n"/>
      <c r="B210" s="1" t="n"/>
      <c r="C210" s="4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</row>
    <row r="211">
      <c r="A211" s="1" t="n"/>
      <c r="B211" s="1" t="n"/>
      <c r="C211" s="4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</row>
    <row r="212">
      <c r="A212" s="1" t="n"/>
      <c r="B212" s="1" t="n"/>
      <c r="C212" s="4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</row>
    <row r="213">
      <c r="A213" s="1" t="n"/>
      <c r="B213" s="1" t="n"/>
      <c r="C213" s="4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</row>
    <row r="214">
      <c r="A214" s="1" t="n"/>
      <c r="B214" s="1" t="n"/>
      <c r="C214" s="4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</row>
    <row r="215">
      <c r="A215" s="1" t="n"/>
      <c r="B215" s="1" t="n"/>
      <c r="C215" s="4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</row>
    <row r="216">
      <c r="A216" s="1" t="n"/>
      <c r="B216" s="1" t="n"/>
      <c r="C216" s="4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</row>
    <row r="217">
      <c r="A217" s="1" t="n"/>
      <c r="B217" s="1" t="n"/>
      <c r="C217" s="4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</row>
    <row r="218">
      <c r="A218" s="1" t="n"/>
      <c r="B218" s="1" t="n"/>
      <c r="C218" s="4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</row>
    <row r="219">
      <c r="A219" s="1" t="n"/>
      <c r="B219" s="1" t="n"/>
      <c r="C219" s="4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</row>
    <row r="220">
      <c r="A220" s="1" t="n"/>
      <c r="B220" s="1" t="n"/>
      <c r="C220" s="4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</row>
    <row r="221">
      <c r="A221" s="1" t="n"/>
      <c r="B221" s="1" t="n"/>
      <c r="C221" s="4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</row>
    <row r="222">
      <c r="A222" s="1" t="n"/>
      <c r="B222" s="1" t="n"/>
      <c r="C222" s="4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</row>
    <row r="223">
      <c r="A223" s="1" t="n"/>
      <c r="B223" s="1" t="n"/>
      <c r="C223" s="4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</row>
    <row r="224">
      <c r="A224" s="1" t="n"/>
      <c r="B224" s="1" t="n"/>
      <c r="C224" s="4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</row>
    <row r="225">
      <c r="A225" s="1" t="n"/>
      <c r="B225" s="1" t="n"/>
      <c r="C225" s="4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</row>
    <row r="226">
      <c r="A226" s="1" t="n"/>
      <c r="B226" s="1" t="n"/>
      <c r="C226" s="4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</row>
    <row r="227">
      <c r="A227" s="1" t="n"/>
      <c r="B227" s="1" t="n"/>
      <c r="C227" s="4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</row>
    <row r="228">
      <c r="A228" s="1" t="n"/>
      <c r="B228" s="1" t="n"/>
      <c r="C228" s="4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</row>
    <row r="229">
      <c r="A229" s="1" t="n"/>
      <c r="B229" s="1" t="n"/>
      <c r="C229" s="4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</row>
    <row r="230">
      <c r="A230" s="1" t="n"/>
      <c r="B230" s="1" t="n"/>
      <c r="C230" s="4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</row>
    <row r="231">
      <c r="A231" s="1" t="n"/>
      <c r="B231" s="1" t="n"/>
      <c r="C231" s="4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</row>
    <row r="232">
      <c r="A232" s="1" t="n"/>
      <c r="B232" s="1" t="n"/>
      <c r="C232" s="4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</row>
    <row r="233">
      <c r="A233" s="1" t="n"/>
      <c r="B233" s="1" t="n"/>
      <c r="C233" s="4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</row>
    <row r="234">
      <c r="A234" s="1" t="n"/>
      <c r="B234" s="1" t="n"/>
      <c r="C234" s="4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</row>
    <row r="235">
      <c r="A235" s="1" t="n"/>
      <c r="B235" s="1" t="n"/>
      <c r="C235" s="4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</row>
    <row r="236">
      <c r="A236" s="1" t="n"/>
      <c r="B236" s="1" t="n"/>
      <c r="C236" s="4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</row>
    <row r="237">
      <c r="A237" s="1" t="n"/>
      <c r="B237" s="1" t="n"/>
      <c r="C237" s="4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</row>
    <row r="238">
      <c r="A238" s="1" t="n"/>
      <c r="B238" s="1" t="n"/>
      <c r="C238" s="4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</row>
    <row r="239">
      <c r="A239" s="1" t="n"/>
      <c r="B239" s="1" t="n"/>
      <c r="C239" s="4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</row>
    <row r="240">
      <c r="A240" s="1" t="n"/>
      <c r="B240" s="1" t="n"/>
      <c r="C240" s="4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</row>
    <row r="241">
      <c r="A241" s="1" t="n"/>
      <c r="B241" s="1" t="n"/>
      <c r="C241" s="4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</row>
    <row r="242">
      <c r="A242" s="1" t="n"/>
      <c r="B242" s="1" t="n"/>
      <c r="C242" s="4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</row>
    <row r="243">
      <c r="A243" s="1" t="n"/>
      <c r="B243" s="1" t="n"/>
      <c r="C243" s="4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</row>
    <row r="244">
      <c r="A244" s="1" t="n"/>
      <c r="B244" s="1" t="n"/>
      <c r="C244" s="4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</row>
    <row r="245">
      <c r="A245" s="1" t="n"/>
      <c r="B245" s="1" t="n"/>
      <c r="C245" s="4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</row>
    <row r="246">
      <c r="A246" s="1" t="n"/>
      <c r="B246" s="1" t="n"/>
      <c r="C246" s="4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</row>
    <row r="247">
      <c r="A247" s="1" t="n"/>
      <c r="B247" s="1" t="n"/>
      <c r="C247" s="4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</row>
    <row r="248">
      <c r="A248" s="1" t="n"/>
      <c r="B248" s="1" t="n"/>
      <c r="C248" s="4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</row>
    <row r="249">
      <c r="A249" s="1" t="n"/>
      <c r="B249" s="1" t="n"/>
      <c r="C249" s="4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</row>
    <row r="250">
      <c r="A250" s="1" t="n"/>
      <c r="B250" s="1" t="n"/>
      <c r="C250" s="4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</row>
    <row r="251">
      <c r="A251" s="1" t="n"/>
      <c r="B251" s="1" t="n"/>
      <c r="C251" s="4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</row>
    <row r="252">
      <c r="A252" s="1" t="n"/>
      <c r="B252" s="1" t="n"/>
      <c r="C252" s="4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</row>
    <row r="253">
      <c r="A253" s="1" t="n"/>
      <c r="B253" s="1" t="n"/>
      <c r="C253" s="4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</row>
    <row r="254">
      <c r="A254" s="1" t="n"/>
      <c r="B254" s="1" t="n"/>
      <c r="C254" s="4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</row>
    <row r="255">
      <c r="A255" s="1" t="n"/>
      <c r="B255" s="1" t="n"/>
      <c r="C255" s="4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</row>
    <row r="256">
      <c r="A256" s="1" t="n"/>
      <c r="B256" s="1" t="n"/>
      <c r="C256" s="4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</row>
    <row r="257">
      <c r="A257" s="1" t="n"/>
      <c r="B257" s="1" t="n"/>
      <c r="C257" s="4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</row>
    <row r="258">
      <c r="A258" s="1" t="n"/>
      <c r="B258" s="1" t="n"/>
      <c r="C258" s="4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</row>
    <row r="259">
      <c r="A259" s="1" t="n"/>
      <c r="B259" s="1" t="n"/>
      <c r="C259" s="4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</row>
    <row r="260">
      <c r="A260" s="1" t="n"/>
      <c r="B260" s="1" t="n"/>
      <c r="C260" s="4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</row>
    <row r="261">
      <c r="A261" s="1" t="n"/>
      <c r="B261" s="1" t="n"/>
      <c r="C261" s="4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</row>
    <row r="262">
      <c r="A262" s="1" t="n"/>
      <c r="B262" s="1" t="n"/>
      <c r="C262" s="4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</row>
    <row r="263">
      <c r="A263" s="1" t="n"/>
      <c r="B263" s="1" t="n"/>
      <c r="C263" s="4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</row>
    <row r="264">
      <c r="A264" s="1" t="n"/>
      <c r="B264" s="1" t="n"/>
      <c r="C264" s="4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</row>
    <row r="265">
      <c r="A265" s="1" t="n"/>
      <c r="B265" s="1" t="n"/>
      <c r="C265" s="4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</row>
    <row r="266">
      <c r="A266" s="1" t="n"/>
      <c r="B266" s="1" t="n"/>
      <c r="C266" s="4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</row>
    <row r="267">
      <c r="A267" s="1" t="n"/>
      <c r="B267" s="1" t="n"/>
      <c r="C267" s="4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</row>
    <row r="268">
      <c r="A268" s="1" t="n"/>
      <c r="B268" s="1" t="n"/>
      <c r="C268" s="4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</row>
    <row r="269">
      <c r="A269" s="1" t="n"/>
      <c r="B269" s="1" t="n"/>
      <c r="C269" s="4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</row>
    <row r="270">
      <c r="A270" s="1" t="n"/>
      <c r="B270" s="1" t="n"/>
      <c r="C270" s="4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</row>
    <row r="271">
      <c r="A271" s="1" t="n"/>
      <c r="B271" s="1" t="n"/>
      <c r="C271" s="4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</row>
    <row r="272">
      <c r="A272" s="1" t="n"/>
      <c r="B272" s="1" t="n"/>
      <c r="C272" s="4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</row>
    <row r="273">
      <c r="A273" s="1" t="n"/>
      <c r="B273" s="1" t="n"/>
      <c r="C273" s="4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</row>
    <row r="274">
      <c r="A274" s="1" t="n"/>
      <c r="B274" s="1" t="n"/>
      <c r="C274" s="4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</row>
    <row r="275">
      <c r="A275" s="1" t="n"/>
      <c r="B275" s="1" t="n"/>
      <c r="C275" s="4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</row>
    <row r="276">
      <c r="A276" s="1" t="n"/>
      <c r="B276" s="1" t="n"/>
      <c r="C276" s="4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</row>
    <row r="277">
      <c r="A277" s="1" t="n"/>
      <c r="B277" s="1" t="n"/>
      <c r="C277" s="4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</row>
    <row r="278">
      <c r="A278" s="1" t="n"/>
      <c r="B278" s="1" t="n"/>
      <c r="C278" s="4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</row>
    <row r="279">
      <c r="A279" s="1" t="n"/>
      <c r="B279" s="1" t="n"/>
      <c r="C279" s="4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</row>
    <row r="280">
      <c r="A280" s="1" t="n"/>
      <c r="B280" s="1" t="n"/>
      <c r="C280" s="4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</row>
    <row r="281">
      <c r="A281" s="1" t="n"/>
      <c r="B281" s="1" t="n"/>
      <c r="C281" s="4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</row>
    <row r="282">
      <c r="A282" s="1" t="n"/>
      <c r="B282" s="1" t="n"/>
      <c r="C282" s="4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</row>
    <row r="283">
      <c r="A283" s="1" t="n"/>
      <c r="B283" s="1" t="n"/>
      <c r="C283" s="4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</row>
    <row r="284">
      <c r="A284" s="1" t="n"/>
      <c r="B284" s="1" t="n"/>
      <c r="C284" s="4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</row>
    <row r="285">
      <c r="A285" s="1" t="n"/>
      <c r="B285" s="1" t="n"/>
      <c r="C285" s="4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</row>
    <row r="286">
      <c r="A286" s="1" t="n"/>
      <c r="B286" s="1" t="n"/>
      <c r="C286" s="4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</row>
    <row r="287">
      <c r="A287" s="1" t="n"/>
      <c r="B287" s="1" t="n"/>
      <c r="C287" s="4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</row>
    <row r="288">
      <c r="A288" s="1" t="n"/>
      <c r="B288" s="1" t="n"/>
      <c r="C288" s="4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</row>
    <row r="289">
      <c r="A289" s="1" t="n"/>
      <c r="B289" s="1" t="n"/>
      <c r="C289" s="4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</row>
    <row r="290">
      <c r="A290" s="1" t="n"/>
      <c r="B290" s="1" t="n"/>
      <c r="C290" s="4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</row>
    <row r="291">
      <c r="A291" s="1" t="n"/>
      <c r="B291" s="1" t="n"/>
      <c r="C291" s="4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</row>
    <row r="292">
      <c r="A292" s="1" t="n"/>
      <c r="B292" s="1" t="n"/>
      <c r="C292" s="4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</row>
    <row r="293">
      <c r="A293" s="1" t="n"/>
      <c r="B293" s="1" t="n"/>
      <c r="C293" s="4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</row>
    <row r="294">
      <c r="A294" s="1" t="n"/>
      <c r="B294" s="1" t="n"/>
      <c r="C294" s="4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</row>
    <row r="295">
      <c r="A295" s="1" t="n"/>
      <c r="B295" s="1" t="n"/>
      <c r="C295" s="4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</row>
    <row r="296">
      <c r="A296" s="1" t="n"/>
      <c r="B296" s="1" t="n"/>
      <c r="C296" s="4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</row>
    <row r="297">
      <c r="A297" s="1" t="n"/>
      <c r="B297" s="1" t="n"/>
      <c r="C297" s="4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</row>
    <row r="298">
      <c r="A298" s="1" t="n"/>
      <c r="B298" s="1" t="n"/>
      <c r="C298" s="4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</row>
    <row r="299">
      <c r="A299" s="1" t="n"/>
      <c r="B299" s="1" t="n"/>
      <c r="C299" s="4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</row>
    <row r="300">
      <c r="A300" s="1" t="n"/>
      <c r="B300" s="1" t="n"/>
      <c r="C300" s="4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</row>
    <row r="301">
      <c r="A301" s="1" t="n"/>
      <c r="B301" s="1" t="n"/>
      <c r="C301" s="4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</row>
    <row r="302">
      <c r="A302" s="1" t="n"/>
      <c r="B302" s="1" t="n"/>
      <c r="C302" s="4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</row>
    <row r="303">
      <c r="A303" s="1" t="n"/>
      <c r="B303" s="1" t="n"/>
      <c r="C303" s="4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</row>
    <row r="304">
      <c r="A304" s="1" t="n"/>
      <c r="B304" s="1" t="n"/>
      <c r="C304" s="4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</row>
    <row r="305">
      <c r="A305" s="1" t="n"/>
      <c r="B305" s="1" t="n"/>
      <c r="C305" s="4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</row>
    <row r="306">
      <c r="A306" s="1" t="n"/>
      <c r="B306" s="1" t="n"/>
      <c r="C306" s="4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</row>
    <row r="307">
      <c r="A307" s="1" t="n"/>
      <c r="B307" s="1" t="n"/>
      <c r="C307" s="4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</row>
    <row r="308">
      <c r="A308" s="1" t="n"/>
      <c r="B308" s="1" t="n"/>
      <c r="C308" s="4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</row>
    <row r="309">
      <c r="A309" s="1" t="n"/>
      <c r="B309" s="1" t="n"/>
      <c r="C309" s="4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</row>
    <row r="310">
      <c r="A310" s="1" t="n"/>
      <c r="B310" s="1" t="n"/>
      <c r="C310" s="4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</row>
    <row r="311">
      <c r="A311" s="1" t="n"/>
      <c r="B311" s="1" t="n"/>
      <c r="C311" s="4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</row>
    <row r="312">
      <c r="A312" s="1" t="n"/>
      <c r="B312" s="1" t="n"/>
      <c r="C312" s="4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</row>
    <row r="313">
      <c r="A313" s="1" t="n"/>
      <c r="B313" s="1" t="n"/>
      <c r="C313" s="4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</row>
    <row r="314">
      <c r="A314" s="1" t="n"/>
      <c r="B314" s="1" t="n"/>
      <c r="C314" s="4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</row>
    <row r="315">
      <c r="A315" s="1" t="n"/>
      <c r="B315" s="1" t="n"/>
      <c r="C315" s="4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</row>
    <row r="316">
      <c r="A316" s="1" t="n"/>
      <c r="B316" s="1" t="n"/>
      <c r="C316" s="4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</row>
    <row r="317">
      <c r="A317" s="1" t="n"/>
      <c r="B317" s="1" t="n"/>
      <c r="C317" s="4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</row>
    <row r="318">
      <c r="A318" s="1" t="n"/>
      <c r="B318" s="1" t="n"/>
      <c r="C318" s="4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</row>
    <row r="319">
      <c r="A319" s="1" t="n"/>
      <c r="B319" s="1" t="n"/>
      <c r="C319" s="4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</row>
    <row r="320">
      <c r="A320" s="1" t="n"/>
      <c r="B320" s="1" t="n"/>
      <c r="C320" s="4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</row>
    <row r="321">
      <c r="A321" s="1" t="n"/>
      <c r="B321" s="1" t="n"/>
      <c r="C321" s="4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</row>
    <row r="322">
      <c r="A322" s="1" t="n"/>
      <c r="B322" s="1" t="n"/>
      <c r="C322" s="4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</row>
    <row r="323">
      <c r="A323" s="1" t="n"/>
      <c r="B323" s="1" t="n"/>
      <c r="C323" s="4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</row>
    <row r="324">
      <c r="A324" s="1" t="n"/>
      <c r="B324" s="1" t="n"/>
      <c r="C324" s="4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</row>
    <row r="325">
      <c r="A325" s="1" t="n"/>
      <c r="B325" s="1" t="n"/>
      <c r="C325" s="4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</row>
    <row r="326">
      <c r="A326" s="1" t="n"/>
      <c r="B326" s="1" t="n"/>
      <c r="C326" s="4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</row>
    <row r="327">
      <c r="A327" s="1" t="n"/>
      <c r="B327" s="1" t="n"/>
      <c r="C327" s="4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</row>
    <row r="328">
      <c r="A328" s="1" t="n"/>
      <c r="B328" s="1" t="n"/>
      <c r="C328" s="4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</row>
    <row r="329">
      <c r="A329" s="1" t="n"/>
      <c r="B329" s="1" t="n"/>
      <c r="C329" s="4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</row>
    <row r="330">
      <c r="A330" s="1" t="n"/>
      <c r="B330" s="1" t="n"/>
      <c r="C330" s="4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</row>
    <row r="331">
      <c r="A331" s="1" t="n"/>
      <c r="B331" s="1" t="n"/>
      <c r="C331" s="4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</row>
    <row r="332">
      <c r="A332" s="1" t="n"/>
      <c r="B332" s="1" t="n"/>
      <c r="C332" s="4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</row>
    <row r="333">
      <c r="A333" s="1" t="n"/>
      <c r="B333" s="1" t="n"/>
      <c r="C333" s="4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</row>
    <row r="334">
      <c r="A334" s="1" t="n"/>
      <c r="B334" s="1" t="n"/>
      <c r="C334" s="4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</row>
    <row r="335">
      <c r="A335" s="1" t="n"/>
      <c r="B335" s="1" t="n"/>
      <c r="C335" s="4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</row>
    <row r="336">
      <c r="A336" s="1" t="n"/>
      <c r="B336" s="1" t="n"/>
      <c r="C336" s="4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</row>
    <row r="337">
      <c r="A337" s="1" t="n"/>
      <c r="B337" s="1" t="n"/>
      <c r="C337" s="4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</row>
    <row r="338">
      <c r="A338" s="1" t="n"/>
      <c r="B338" s="1" t="n"/>
      <c r="C338" s="4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</row>
    <row r="339">
      <c r="A339" s="1" t="n"/>
      <c r="B339" s="1" t="n"/>
      <c r="C339" s="4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</row>
    <row r="340">
      <c r="A340" s="1" t="n"/>
      <c r="B340" s="1" t="n"/>
      <c r="C340" s="4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</row>
    <row r="341">
      <c r="A341" s="1" t="n"/>
      <c r="B341" s="1" t="n"/>
      <c r="C341" s="4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</row>
    <row r="342">
      <c r="A342" s="1" t="n"/>
      <c r="B342" s="1" t="n"/>
      <c r="C342" s="4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</row>
    <row r="343">
      <c r="A343" s="1" t="n"/>
      <c r="B343" s="1" t="n"/>
      <c r="C343" s="4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</row>
    <row r="344">
      <c r="A344" s="1" t="n"/>
      <c r="B344" s="1" t="n"/>
      <c r="C344" s="4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</row>
    <row r="345">
      <c r="A345" s="1" t="n"/>
      <c r="B345" s="1" t="n"/>
      <c r="C345" s="4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</row>
    <row r="346">
      <c r="A346" s="1" t="n"/>
      <c r="B346" s="1" t="n"/>
      <c r="C346" s="4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</row>
    <row r="347">
      <c r="A347" s="1" t="n"/>
      <c r="B347" s="1" t="n"/>
      <c r="C347" s="4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</row>
    <row r="348">
      <c r="A348" s="1" t="n"/>
      <c r="B348" s="1" t="n"/>
      <c r="C348" s="4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</row>
    <row r="349">
      <c r="A349" s="1" t="n"/>
      <c r="B349" s="1" t="n"/>
      <c r="C349" s="4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</row>
    <row r="350">
      <c r="A350" s="1" t="n"/>
      <c r="B350" s="1" t="n"/>
      <c r="C350" s="4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</row>
    <row r="351">
      <c r="A351" s="1" t="n"/>
      <c r="B351" s="1" t="n"/>
      <c r="C351" s="4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</row>
    <row r="352">
      <c r="A352" s="1" t="n"/>
      <c r="B352" s="1" t="n"/>
      <c r="C352" s="4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</row>
    <row r="353">
      <c r="A353" s="1" t="n"/>
      <c r="B353" s="1" t="n"/>
      <c r="C353" s="4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</row>
    <row r="354">
      <c r="A354" s="1" t="n"/>
      <c r="B354" s="1" t="n"/>
      <c r="C354" s="4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</row>
    <row r="355">
      <c r="A355" s="1" t="n"/>
      <c r="B355" s="1" t="n"/>
      <c r="C355" s="4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</row>
    <row r="356">
      <c r="A356" s="1" t="n"/>
      <c r="B356" s="1" t="n"/>
      <c r="C356" s="4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</row>
    <row r="357">
      <c r="A357" s="1" t="n"/>
      <c r="B357" s="1" t="n"/>
      <c r="C357" s="4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</row>
    <row r="358">
      <c r="A358" s="1" t="n"/>
      <c r="B358" s="1" t="n"/>
      <c r="C358" s="4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</row>
    <row r="359">
      <c r="A359" s="1" t="n"/>
      <c r="B359" s="1" t="n"/>
      <c r="C359" s="4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</row>
    <row r="360">
      <c r="A360" s="1" t="n"/>
      <c r="B360" s="1" t="n"/>
      <c r="C360" s="4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</row>
    <row r="361">
      <c r="A361" s="1" t="n"/>
      <c r="B361" s="1" t="n"/>
      <c r="C361" s="4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</row>
    <row r="362">
      <c r="A362" s="1" t="n"/>
      <c r="B362" s="1" t="n"/>
      <c r="C362" s="4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</row>
    <row r="363">
      <c r="A363" s="1" t="n"/>
      <c r="B363" s="1" t="n"/>
      <c r="C363" s="4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</row>
    <row r="364">
      <c r="A364" s="1" t="n"/>
      <c r="B364" s="1" t="n"/>
      <c r="C364" s="4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</row>
    <row r="365">
      <c r="A365" s="1" t="n"/>
      <c r="B365" s="1" t="n"/>
      <c r="C365" s="4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</row>
    <row r="366">
      <c r="A366" s="1" t="n"/>
      <c r="B366" s="1" t="n"/>
      <c r="C366" s="4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</row>
    <row r="367">
      <c r="A367" s="1" t="n"/>
      <c r="B367" s="1" t="n"/>
      <c r="C367" s="4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</row>
    <row r="368">
      <c r="A368" s="1" t="n"/>
      <c r="B368" s="1" t="n"/>
      <c r="C368" s="4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</row>
    <row r="369">
      <c r="A369" s="1" t="n"/>
      <c r="B369" s="1" t="n"/>
      <c r="C369" s="4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</row>
    <row r="370">
      <c r="A370" s="1" t="n"/>
      <c r="B370" s="1" t="n"/>
      <c r="C370" s="4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</row>
    <row r="371">
      <c r="A371" s="1" t="n"/>
      <c r="B371" s="1" t="n"/>
      <c r="C371" s="4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</row>
    <row r="372">
      <c r="A372" s="1" t="n"/>
      <c r="B372" s="1" t="n"/>
      <c r="C372" s="4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</row>
    <row r="373">
      <c r="A373" s="1" t="n"/>
      <c r="B373" s="1" t="n"/>
      <c r="C373" s="4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</row>
    <row r="374">
      <c r="A374" s="1" t="n"/>
      <c r="B374" s="1" t="n"/>
      <c r="C374" s="4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</row>
    <row r="375">
      <c r="A375" s="1" t="n"/>
      <c r="B375" s="1" t="n"/>
      <c r="C375" s="4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</row>
    <row r="376">
      <c r="A376" s="1" t="n"/>
      <c r="B376" s="1" t="n"/>
      <c r="C376" s="4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</row>
    <row r="377">
      <c r="A377" s="1" t="n"/>
      <c r="B377" s="1" t="n"/>
      <c r="C377" s="4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</row>
    <row r="378">
      <c r="A378" s="1" t="n"/>
      <c r="B378" s="1" t="n"/>
      <c r="C378" s="4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</row>
    <row r="379">
      <c r="A379" s="1" t="n"/>
      <c r="B379" s="1" t="n"/>
      <c r="C379" s="4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</row>
    <row r="380">
      <c r="A380" s="1" t="n"/>
      <c r="B380" s="1" t="n"/>
      <c r="C380" s="4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</row>
    <row r="381">
      <c r="A381" s="1" t="n"/>
      <c r="B381" s="1" t="n"/>
      <c r="C381" s="4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</row>
    <row r="382">
      <c r="A382" s="1" t="n"/>
      <c r="B382" s="1" t="n"/>
      <c r="C382" s="4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</row>
    <row r="383">
      <c r="A383" s="1" t="n"/>
      <c r="B383" s="1" t="n"/>
      <c r="C383" s="4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</row>
    <row r="384">
      <c r="A384" s="1" t="n"/>
      <c r="B384" s="1" t="n"/>
      <c r="C384" s="4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</row>
    <row r="385">
      <c r="A385" s="1" t="n"/>
      <c r="B385" s="1" t="n"/>
      <c r="C385" s="4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</row>
    <row r="386">
      <c r="A386" s="1" t="n"/>
      <c r="B386" s="1" t="n"/>
      <c r="C386" s="4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</row>
    <row r="387">
      <c r="A387" s="1" t="n"/>
      <c r="B387" s="1" t="n"/>
      <c r="C387" s="4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</row>
    <row r="388">
      <c r="A388" s="1" t="n"/>
      <c r="B388" s="1" t="n"/>
      <c r="C388" s="4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</row>
    <row r="389">
      <c r="A389" s="1" t="n"/>
      <c r="B389" s="1" t="n"/>
      <c r="C389" s="4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</row>
    <row r="390">
      <c r="A390" s="1" t="n"/>
      <c r="B390" s="1" t="n"/>
      <c r="C390" s="4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</row>
    <row r="391">
      <c r="A391" s="1" t="n"/>
      <c r="B391" s="1" t="n"/>
      <c r="C391" s="4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</row>
    <row r="392">
      <c r="A392" s="1" t="n"/>
      <c r="B392" s="1" t="n"/>
      <c r="C392" s="4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</row>
    <row r="393">
      <c r="A393" s="1" t="n"/>
      <c r="B393" s="1" t="n"/>
      <c r="C393" s="4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</row>
    <row r="394">
      <c r="A394" s="1" t="n"/>
      <c r="B394" s="1" t="n"/>
      <c r="C394" s="4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</row>
    <row r="395">
      <c r="A395" s="1" t="n"/>
      <c r="B395" s="1" t="n"/>
      <c r="C395" s="4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</row>
    <row r="396">
      <c r="A396" s="1" t="n"/>
      <c r="B396" s="1" t="n"/>
      <c r="C396" s="4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</row>
    <row r="397">
      <c r="A397" s="1" t="n"/>
      <c r="B397" s="1" t="n"/>
      <c r="C397" s="4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</row>
    <row r="398">
      <c r="A398" s="1" t="n"/>
      <c r="B398" s="1" t="n"/>
      <c r="C398" s="4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</row>
    <row r="399">
      <c r="A399" s="1" t="n"/>
      <c r="B399" s="1" t="n"/>
      <c r="C399" s="4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</row>
    <row r="400">
      <c r="A400" s="1" t="n"/>
      <c r="B400" s="1" t="n"/>
      <c r="C400" s="4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</row>
    <row r="401">
      <c r="A401" s="1" t="n"/>
      <c r="B401" s="1" t="n"/>
      <c r="C401" s="4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</row>
    <row r="402">
      <c r="A402" s="1" t="n"/>
      <c r="B402" s="1" t="n"/>
      <c r="C402" s="4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</row>
    <row r="403">
      <c r="A403" s="1" t="n"/>
      <c r="B403" s="1" t="n"/>
      <c r="C403" s="4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</row>
    <row r="404">
      <c r="A404" s="1" t="n"/>
      <c r="B404" s="1" t="n"/>
      <c r="C404" s="4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</row>
    <row r="405">
      <c r="A405" s="1" t="n"/>
      <c r="B405" s="1" t="n"/>
      <c r="C405" s="4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</row>
    <row r="406">
      <c r="A406" s="1" t="n"/>
      <c r="B406" s="1" t="n"/>
      <c r="C406" s="4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</row>
    <row r="407">
      <c r="A407" s="1" t="n"/>
      <c r="B407" s="1" t="n"/>
      <c r="C407" s="4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</row>
    <row r="408">
      <c r="A408" s="1" t="n"/>
      <c r="B408" s="1" t="n"/>
      <c r="C408" s="4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</row>
    <row r="409">
      <c r="A409" s="1" t="n"/>
      <c r="B409" s="1" t="n"/>
      <c r="C409" s="4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</row>
    <row r="410">
      <c r="A410" s="1" t="n"/>
      <c r="B410" s="1" t="n"/>
      <c r="C410" s="4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</row>
    <row r="411">
      <c r="A411" s="1" t="n"/>
      <c r="B411" s="1" t="n"/>
      <c r="C411" s="4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</row>
    <row r="412">
      <c r="A412" s="1" t="n"/>
      <c r="B412" s="1" t="n"/>
      <c r="C412" s="4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</row>
    <row r="413">
      <c r="A413" s="1" t="n"/>
      <c r="B413" s="1" t="n"/>
      <c r="C413" s="4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</row>
    <row r="414">
      <c r="A414" s="1" t="n"/>
      <c r="B414" s="1" t="n"/>
      <c r="C414" s="4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</row>
    <row r="415">
      <c r="A415" s="1" t="n"/>
      <c r="B415" s="1" t="n"/>
      <c r="C415" s="4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</row>
    <row r="416">
      <c r="A416" s="1" t="n"/>
      <c r="B416" s="1" t="n"/>
      <c r="C416" s="4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</row>
    <row r="417">
      <c r="A417" s="1" t="n"/>
      <c r="B417" s="1" t="n"/>
      <c r="C417" s="4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</row>
    <row r="418">
      <c r="A418" s="1" t="n"/>
      <c r="B418" s="1" t="n"/>
      <c r="C418" s="4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</row>
    <row r="419">
      <c r="A419" s="1" t="n"/>
      <c r="B419" s="1" t="n"/>
      <c r="C419" s="4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</row>
    <row r="420">
      <c r="A420" s="1" t="n"/>
      <c r="B420" s="1" t="n"/>
      <c r="C420" s="4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</row>
    <row r="421">
      <c r="A421" s="1" t="n"/>
      <c r="B421" s="1" t="n"/>
      <c r="C421" s="4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</row>
    <row r="422">
      <c r="A422" s="1" t="n"/>
      <c r="B422" s="1" t="n"/>
      <c r="C422" s="4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</row>
    <row r="423">
      <c r="A423" s="1" t="n"/>
      <c r="B423" s="1" t="n"/>
      <c r="C423" s="4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</row>
    <row r="424">
      <c r="A424" s="1" t="n"/>
      <c r="B424" s="1" t="n"/>
      <c r="C424" s="4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</row>
    <row r="425">
      <c r="A425" s="1" t="n"/>
      <c r="B425" s="1" t="n"/>
      <c r="C425" s="4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</row>
    <row r="426">
      <c r="A426" s="1" t="n"/>
      <c r="B426" s="1" t="n"/>
      <c r="C426" s="4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</row>
    <row r="427">
      <c r="A427" s="1" t="n"/>
      <c r="B427" s="1" t="n"/>
      <c r="C427" s="4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</row>
    <row r="428">
      <c r="A428" s="1" t="n"/>
      <c r="B428" s="1" t="n"/>
      <c r="C428" s="4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</row>
    <row r="429">
      <c r="A429" s="1" t="n"/>
      <c r="B429" s="1" t="n"/>
      <c r="C429" s="4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</row>
    <row r="430">
      <c r="A430" s="1" t="n"/>
      <c r="B430" s="1" t="n"/>
      <c r="C430" s="4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</row>
    <row r="431">
      <c r="A431" s="1" t="n"/>
      <c r="B431" s="1" t="n"/>
      <c r="C431" s="4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</row>
    <row r="432">
      <c r="A432" s="1" t="n"/>
      <c r="B432" s="1" t="n"/>
      <c r="C432" s="4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</row>
    <row r="433">
      <c r="A433" s="1" t="n"/>
      <c r="B433" s="1" t="n"/>
      <c r="C433" s="4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</row>
    <row r="434">
      <c r="A434" s="1" t="n"/>
      <c r="B434" s="1" t="n"/>
      <c r="C434" s="4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</row>
    <row r="435">
      <c r="A435" s="1" t="n"/>
      <c r="B435" s="1" t="n"/>
      <c r="C435" s="4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</row>
    <row r="436">
      <c r="A436" s="1" t="n"/>
      <c r="B436" s="1" t="n"/>
      <c r="C436" s="4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</row>
    <row r="437">
      <c r="A437" s="1" t="n"/>
      <c r="B437" s="1" t="n"/>
      <c r="C437" s="4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</row>
    <row r="438">
      <c r="A438" s="1" t="n"/>
      <c r="B438" s="1" t="n"/>
      <c r="C438" s="4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</row>
    <row r="439">
      <c r="A439" s="1" t="n"/>
      <c r="B439" s="1" t="n"/>
      <c r="C439" s="4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</row>
    <row r="440">
      <c r="A440" s="1" t="n"/>
      <c r="B440" s="1" t="n"/>
      <c r="C440" s="4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</row>
    <row r="441">
      <c r="A441" s="1" t="n"/>
      <c r="B441" s="1" t="n"/>
      <c r="C441" s="4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</row>
    <row r="442">
      <c r="A442" s="1" t="n"/>
      <c r="B442" s="1" t="n"/>
      <c r="C442" s="4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</row>
    <row r="443">
      <c r="A443" s="1" t="n"/>
      <c r="B443" s="1" t="n"/>
      <c r="C443" s="4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</row>
    <row r="444">
      <c r="A444" s="1" t="n"/>
      <c r="B444" s="1" t="n"/>
      <c r="C444" s="4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</row>
    <row r="445">
      <c r="A445" s="1" t="n"/>
      <c r="B445" s="1" t="n"/>
      <c r="C445" s="4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</row>
    <row r="446">
      <c r="A446" s="1" t="n"/>
      <c r="B446" s="1" t="n"/>
      <c r="C446" s="4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</row>
    <row r="447">
      <c r="A447" s="1" t="n"/>
      <c r="B447" s="1" t="n"/>
      <c r="C447" s="4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</row>
    <row r="448">
      <c r="A448" s="1" t="n"/>
      <c r="B448" s="1" t="n"/>
      <c r="C448" s="4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</row>
    <row r="449">
      <c r="A449" s="1" t="n"/>
      <c r="B449" s="1" t="n"/>
      <c r="C449" s="4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</row>
    <row r="450">
      <c r="A450" s="1" t="n"/>
      <c r="B450" s="1" t="n"/>
      <c r="C450" s="4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</row>
    <row r="451">
      <c r="A451" s="1" t="n"/>
      <c r="B451" s="1" t="n"/>
      <c r="C451" s="4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</row>
    <row r="452">
      <c r="A452" s="1" t="n"/>
      <c r="B452" s="1" t="n"/>
      <c r="C452" s="4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</row>
    <row r="453">
      <c r="A453" s="1" t="n"/>
      <c r="B453" s="1" t="n"/>
      <c r="C453" s="4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</row>
    <row r="454">
      <c r="A454" s="1" t="n"/>
      <c r="B454" s="1" t="n"/>
      <c r="C454" s="4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</row>
    <row r="455">
      <c r="A455" s="1" t="n"/>
      <c r="B455" s="1" t="n"/>
      <c r="C455" s="4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</row>
    <row r="456">
      <c r="A456" s="1" t="n"/>
      <c r="B456" s="1" t="n"/>
      <c r="C456" s="4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</row>
    <row r="457">
      <c r="A457" s="1" t="n"/>
      <c r="B457" s="1" t="n"/>
      <c r="C457" s="4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</row>
    <row r="458">
      <c r="A458" s="1" t="n"/>
      <c r="B458" s="1" t="n"/>
      <c r="C458" s="4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</row>
    <row r="459">
      <c r="A459" s="1" t="n"/>
      <c r="B459" s="1" t="n"/>
      <c r="C459" s="4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</row>
    <row r="460">
      <c r="A460" s="1" t="n"/>
      <c r="B460" s="1" t="n"/>
      <c r="C460" s="4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</row>
    <row r="461">
      <c r="A461" s="1" t="n"/>
      <c r="B461" s="1" t="n"/>
      <c r="C461" s="4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</row>
    <row r="462">
      <c r="A462" s="1" t="n"/>
      <c r="B462" s="1" t="n"/>
      <c r="C462" s="4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</row>
    <row r="463">
      <c r="A463" s="1" t="n"/>
      <c r="B463" s="1" t="n"/>
      <c r="C463" s="4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</row>
    <row r="464">
      <c r="A464" s="1" t="n"/>
      <c r="B464" s="1" t="n"/>
      <c r="C464" s="4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</row>
  </sheetData>
  <autoFilter ref="A1:P1">
    <sortState ref="A2:P16">
      <sortCondition ref="E1:E1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2026-03-23T05:16:10Z</dcterms:created>
  <dcterms:modified xsi:type="dcterms:W3CDTF">2026-03-23T05:16:10Z</dcterms:modified>
  <cp:lastModifiedBy>政達 鍾</cp:lastModifiedBy>
</cp:coreProperties>
</file>